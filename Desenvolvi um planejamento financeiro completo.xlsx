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ranc\Downloads\Tudo sobre Analise de Dados\Materias para estudar SQL-POWER BI E EXCEL\4 Para analista Financeiro e tesouraria\Finanças para praticar( exercitar )\4- Planejamento financiero\"/>
    </mc:Choice>
  </mc:AlternateContent>
  <xr:revisionPtr revIDLastSave="0" documentId="13_ncr:1_{4A98920C-3DCC-400F-881A-EC8692EFB3F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ejamento Financeiro " sheetId="2" r:id="rId1"/>
    <sheet name="Indicadores Financeiros  " sheetId="4" r:id="rId2"/>
    <sheet name="Dashaboar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" i="2" l="1"/>
  <c r="D16" i="2"/>
  <c r="C21" i="4"/>
  <c r="D21" i="4"/>
  <c r="E21" i="4"/>
  <c r="F21" i="4"/>
  <c r="G21" i="4"/>
  <c r="H21" i="4"/>
  <c r="I21" i="4"/>
  <c r="J21" i="4"/>
  <c r="K21" i="4"/>
  <c r="L21" i="4"/>
  <c r="M21" i="4"/>
  <c r="C18" i="4"/>
  <c r="D18" i="4"/>
  <c r="E18" i="4"/>
  <c r="F18" i="4"/>
  <c r="G18" i="4"/>
  <c r="H18" i="4"/>
  <c r="I18" i="4"/>
  <c r="J18" i="4"/>
  <c r="K18" i="4"/>
  <c r="L18" i="4"/>
  <c r="M18" i="4"/>
  <c r="C15" i="4"/>
  <c r="D15" i="4"/>
  <c r="E15" i="4"/>
  <c r="F15" i="4"/>
  <c r="G15" i="4"/>
  <c r="H15" i="4"/>
  <c r="I15" i="4"/>
  <c r="J15" i="4"/>
  <c r="K15" i="4"/>
  <c r="L15" i="4"/>
  <c r="M15" i="4"/>
  <c r="D14" i="4"/>
  <c r="E14" i="4"/>
  <c r="F14" i="4"/>
  <c r="G14" i="4"/>
  <c r="H14" i="4"/>
  <c r="I14" i="4"/>
  <c r="J14" i="4"/>
  <c r="K14" i="4"/>
  <c r="L14" i="4"/>
  <c r="M14" i="4"/>
  <c r="M13" i="4"/>
  <c r="D13" i="4"/>
  <c r="E13" i="4"/>
  <c r="F13" i="4"/>
  <c r="G13" i="4"/>
  <c r="H13" i="4"/>
  <c r="I13" i="4"/>
  <c r="J13" i="4"/>
  <c r="K13" i="4"/>
  <c r="L13" i="4"/>
  <c r="C13" i="4"/>
  <c r="C9" i="4"/>
  <c r="D9" i="4"/>
  <c r="E9" i="4"/>
  <c r="F9" i="4"/>
  <c r="G9" i="4"/>
  <c r="H9" i="4"/>
  <c r="I9" i="4"/>
  <c r="J9" i="4"/>
  <c r="K9" i="4"/>
  <c r="L9" i="4"/>
  <c r="M9" i="4"/>
  <c r="C8" i="4"/>
  <c r="D8" i="4"/>
  <c r="E8" i="4"/>
  <c r="F8" i="4"/>
  <c r="G8" i="4"/>
  <c r="H8" i="4"/>
  <c r="I8" i="4"/>
  <c r="J8" i="4"/>
  <c r="K8" i="4"/>
  <c r="L8" i="4"/>
  <c r="M8" i="4"/>
  <c r="C5" i="4"/>
  <c r="D5" i="4"/>
  <c r="E5" i="4"/>
  <c r="F5" i="4"/>
  <c r="G5" i="4"/>
  <c r="H5" i="4"/>
  <c r="I5" i="4"/>
  <c r="J5" i="4"/>
  <c r="K5" i="4"/>
  <c r="L5" i="4"/>
  <c r="M5" i="4"/>
  <c r="G4" i="4"/>
  <c r="H4" i="4"/>
  <c r="I4" i="4"/>
  <c r="J4" i="4"/>
  <c r="K4" i="4"/>
  <c r="L4" i="4"/>
  <c r="M4" i="4"/>
  <c r="E4" i="4"/>
  <c r="F4" i="4"/>
  <c r="C4" i="4"/>
  <c r="D4" i="4"/>
  <c r="D3" i="4"/>
  <c r="E3" i="4"/>
  <c r="F3" i="4"/>
  <c r="G3" i="4"/>
  <c r="H3" i="4"/>
  <c r="I3" i="4"/>
  <c r="J3" i="4"/>
  <c r="K3" i="4"/>
  <c r="L3" i="4"/>
  <c r="M3" i="4"/>
  <c r="C3" i="4"/>
  <c r="B3" i="4"/>
  <c r="G40" i="2"/>
  <c r="H40" i="2"/>
  <c r="J40" i="2"/>
  <c r="L40" i="2"/>
  <c r="D30" i="2"/>
  <c r="E30" i="2" s="1"/>
  <c r="F30" i="2" s="1"/>
  <c r="G30" i="2" s="1"/>
  <c r="H30" i="2" s="1"/>
  <c r="I30" i="2" s="1"/>
  <c r="J30" i="2" s="1"/>
  <c r="K30" i="2" s="1"/>
  <c r="L30" i="2" s="1"/>
  <c r="M30" i="2" s="1"/>
  <c r="N30" i="2" s="1"/>
  <c r="O30" i="2" s="1"/>
  <c r="C29" i="2"/>
  <c r="O38" i="2"/>
  <c r="O33" i="2"/>
  <c r="C34" i="2"/>
  <c r="D26" i="2"/>
  <c r="E26" i="2" s="1"/>
  <c r="D28" i="2"/>
  <c r="D27" i="2"/>
  <c r="D24" i="2"/>
  <c r="E24" i="2" s="1"/>
  <c r="F24" i="2" s="1"/>
  <c r="G24" i="2" s="1"/>
  <c r="H24" i="2" s="1"/>
  <c r="I24" i="2" s="1"/>
  <c r="J24" i="2" s="1"/>
  <c r="K24" i="2" s="1"/>
  <c r="L24" i="2" s="1"/>
  <c r="M24" i="2" s="1"/>
  <c r="N24" i="2" s="1"/>
  <c r="D23" i="2"/>
  <c r="E23" i="2" s="1"/>
  <c r="F23" i="2" s="1"/>
  <c r="G23" i="2" s="1"/>
  <c r="H23" i="2" s="1"/>
  <c r="I23" i="2" s="1"/>
  <c r="J23" i="2" s="1"/>
  <c r="K23" i="2" s="1"/>
  <c r="L23" i="2" s="1"/>
  <c r="M23" i="2" s="1"/>
  <c r="N23" i="2" s="1"/>
  <c r="D22" i="2"/>
  <c r="E22" i="2" s="1"/>
  <c r="F22" i="2" s="1"/>
  <c r="G22" i="2" s="1"/>
  <c r="H22" i="2" s="1"/>
  <c r="I22" i="2" s="1"/>
  <c r="J22" i="2" s="1"/>
  <c r="K22" i="2" s="1"/>
  <c r="L22" i="2" s="1"/>
  <c r="M22" i="2" s="1"/>
  <c r="N22" i="2" s="1"/>
  <c r="D21" i="2"/>
  <c r="E21" i="2" s="1"/>
  <c r="F21" i="2" s="1"/>
  <c r="G21" i="2" s="1"/>
  <c r="H21" i="2" s="1"/>
  <c r="I21" i="2" s="1"/>
  <c r="J21" i="2" s="1"/>
  <c r="K21" i="2" s="1"/>
  <c r="L21" i="2" s="1"/>
  <c r="M21" i="2" s="1"/>
  <c r="N21" i="2" s="1"/>
  <c r="D20" i="2"/>
  <c r="D17" i="2"/>
  <c r="E17" i="2" s="1"/>
  <c r="F17" i="2" s="1"/>
  <c r="G17" i="2" s="1"/>
  <c r="H17" i="2" s="1"/>
  <c r="I17" i="2" s="1"/>
  <c r="J17" i="2" s="1"/>
  <c r="K17" i="2" s="1"/>
  <c r="L17" i="2" s="1"/>
  <c r="M17" i="2" s="1"/>
  <c r="N17" i="2" s="1"/>
  <c r="D15" i="2"/>
  <c r="D11" i="2"/>
  <c r="E11" i="2" s="1"/>
  <c r="F11" i="2" s="1"/>
  <c r="G11" i="2" s="1"/>
  <c r="H11" i="2" s="1"/>
  <c r="I11" i="2" s="1"/>
  <c r="J11" i="2" s="1"/>
  <c r="K11" i="2" s="1"/>
  <c r="L11" i="2" s="1"/>
  <c r="M11" i="2" s="1"/>
  <c r="N11" i="2" s="1"/>
  <c r="D12" i="2"/>
  <c r="E12" i="2" s="1"/>
  <c r="F12" i="2" s="1"/>
  <c r="G12" i="2" s="1"/>
  <c r="H12" i="2" s="1"/>
  <c r="I12" i="2" s="1"/>
  <c r="J12" i="2" s="1"/>
  <c r="K12" i="2" s="1"/>
  <c r="L12" i="2" s="1"/>
  <c r="M12" i="2" s="1"/>
  <c r="N12" i="2" s="1"/>
  <c r="D10" i="2"/>
  <c r="E10" i="2" s="1"/>
  <c r="C25" i="2"/>
  <c r="C19" i="2"/>
  <c r="C9" i="2"/>
  <c r="D29" i="2" l="1"/>
  <c r="C14" i="2"/>
  <c r="B21" i="4" s="1"/>
  <c r="D25" i="2"/>
  <c r="O12" i="2"/>
  <c r="F26" i="2"/>
  <c r="O23" i="2"/>
  <c r="O17" i="2"/>
  <c r="E27" i="2"/>
  <c r="F27" i="2" s="1"/>
  <c r="G27" i="2" s="1"/>
  <c r="H27" i="2" s="1"/>
  <c r="I27" i="2" s="1"/>
  <c r="J27" i="2" s="1"/>
  <c r="K27" i="2" s="1"/>
  <c r="L27" i="2" s="1"/>
  <c r="M27" i="2" s="1"/>
  <c r="N27" i="2" s="1"/>
  <c r="O22" i="2"/>
  <c r="E16" i="2"/>
  <c r="E28" i="2"/>
  <c r="F28" i="2" s="1"/>
  <c r="G28" i="2" s="1"/>
  <c r="H28" i="2" s="1"/>
  <c r="I28" i="2" s="1"/>
  <c r="J28" i="2" s="1"/>
  <c r="K28" i="2" s="1"/>
  <c r="L28" i="2" s="1"/>
  <c r="M28" i="2" s="1"/>
  <c r="N28" i="2" s="1"/>
  <c r="D34" i="2"/>
  <c r="E34" i="2" s="1"/>
  <c r="O11" i="2"/>
  <c r="O24" i="2"/>
  <c r="O21" i="2"/>
  <c r="D19" i="2"/>
  <c r="E20" i="2"/>
  <c r="F10" i="2"/>
  <c r="E9" i="2"/>
  <c r="D9" i="2"/>
  <c r="C32" i="2" l="1"/>
  <c r="D14" i="2"/>
  <c r="E29" i="2"/>
  <c r="O27" i="2"/>
  <c r="F34" i="2"/>
  <c r="E25" i="2"/>
  <c r="O28" i="2"/>
  <c r="F16" i="2"/>
  <c r="E15" i="2"/>
  <c r="G26" i="2"/>
  <c r="F25" i="2"/>
  <c r="D32" i="2"/>
  <c r="D36" i="2" s="1"/>
  <c r="D40" i="2" s="1"/>
  <c r="F20" i="2"/>
  <c r="E19" i="2"/>
  <c r="G10" i="2"/>
  <c r="F9" i="2"/>
  <c r="B4" i="4" l="1"/>
  <c r="B9" i="4"/>
  <c r="F29" i="2"/>
  <c r="E14" i="2"/>
  <c r="E32" i="2" s="1"/>
  <c r="E36" i="2" s="1"/>
  <c r="E40" i="2" s="1"/>
  <c r="G16" i="2"/>
  <c r="F15" i="2"/>
  <c r="G34" i="2"/>
  <c r="H34" i="2" s="1"/>
  <c r="I34" i="2" s="1"/>
  <c r="J34" i="2" s="1"/>
  <c r="K34" i="2" s="1"/>
  <c r="L34" i="2" s="1"/>
  <c r="M34" i="2" s="1"/>
  <c r="N34" i="2" s="1"/>
  <c r="H26" i="2"/>
  <c r="G25" i="2"/>
  <c r="G20" i="2"/>
  <c r="F19" i="2"/>
  <c r="H10" i="2"/>
  <c r="G9" i="2"/>
  <c r="G29" i="2" l="1"/>
  <c r="F14" i="2"/>
  <c r="I26" i="2"/>
  <c r="H25" i="2"/>
  <c r="C36" i="2"/>
  <c r="H16" i="2"/>
  <c r="G15" i="2"/>
  <c r="O34" i="2"/>
  <c r="H20" i="2"/>
  <c r="G19" i="2"/>
  <c r="I10" i="2"/>
  <c r="H9" i="2"/>
  <c r="C40" i="2" l="1"/>
  <c r="H29" i="2"/>
  <c r="G14" i="2"/>
  <c r="G32" i="2" s="1"/>
  <c r="G36" i="2" s="1"/>
  <c r="J26" i="2"/>
  <c r="I25" i="2"/>
  <c r="F32" i="2"/>
  <c r="I16" i="2"/>
  <c r="H15" i="2"/>
  <c r="I20" i="2"/>
  <c r="H19" i="2"/>
  <c r="J10" i="2"/>
  <c r="I9" i="2"/>
  <c r="C14" i="4" l="1"/>
  <c r="B18" i="4"/>
  <c r="B15" i="4"/>
  <c r="B5" i="4"/>
  <c r="C41" i="2"/>
  <c r="B8" i="4"/>
  <c r="I29" i="2"/>
  <c r="H14" i="2"/>
  <c r="I15" i="2"/>
  <c r="J16" i="2"/>
  <c r="F36" i="2"/>
  <c r="K26" i="2"/>
  <c r="J25" i="2"/>
  <c r="J20" i="2"/>
  <c r="I19" i="2"/>
  <c r="K10" i="2"/>
  <c r="J9" i="2"/>
  <c r="J29" i="2" l="1"/>
  <c r="I14" i="2"/>
  <c r="I32" i="2" s="1"/>
  <c r="I36" i="2" s="1"/>
  <c r="I40" i="2" s="1"/>
  <c r="J15" i="2"/>
  <c r="K16" i="2"/>
  <c r="L26" i="2"/>
  <c r="K25" i="2"/>
  <c r="D41" i="2"/>
  <c r="E41" i="2" s="1"/>
  <c r="H32" i="2"/>
  <c r="F40" i="2"/>
  <c r="K20" i="2"/>
  <c r="J19" i="2"/>
  <c r="L10" i="2"/>
  <c r="K9" i="2"/>
  <c r="J14" i="2" l="1"/>
  <c r="K29" i="2"/>
  <c r="F41" i="2"/>
  <c r="G41" i="2" s="1"/>
  <c r="H36" i="2"/>
  <c r="M26" i="2"/>
  <c r="L25" i="2"/>
  <c r="L16" i="2"/>
  <c r="K15" i="2"/>
  <c r="L20" i="2"/>
  <c r="K19" i="2"/>
  <c r="M10" i="2"/>
  <c r="L9" i="2"/>
  <c r="K14" i="2" l="1"/>
  <c r="K32" i="2" s="1"/>
  <c r="K36" i="2" s="1"/>
  <c r="K40" i="2" s="1"/>
  <c r="L29" i="2"/>
  <c r="H41" i="2"/>
  <c r="N26" i="2"/>
  <c r="M25" i="2"/>
  <c r="J32" i="2"/>
  <c r="L15" i="2"/>
  <c r="M16" i="2"/>
  <c r="M20" i="2"/>
  <c r="L19" i="2"/>
  <c r="N10" i="2"/>
  <c r="M9" i="2"/>
  <c r="L14" i="2" l="1"/>
  <c r="L32" i="2" s="1"/>
  <c r="L36" i="2" s="1"/>
  <c r="M29" i="2"/>
  <c r="N9" i="2"/>
  <c r="O9" i="2" s="1"/>
  <c r="O10" i="2"/>
  <c r="N16" i="2"/>
  <c r="M15" i="2"/>
  <c r="N25" i="2"/>
  <c r="O25" i="2" s="1"/>
  <c r="O26" i="2"/>
  <c r="I41" i="2"/>
  <c r="J36" i="2"/>
  <c r="N20" i="2"/>
  <c r="M19" i="2"/>
  <c r="M14" i="2" l="1"/>
  <c r="M32" i="2" s="1"/>
  <c r="M36" i="2" s="1"/>
  <c r="M40" i="2" s="1"/>
  <c r="N29" i="2"/>
  <c r="O29" i="2" s="1"/>
  <c r="N15" i="2"/>
  <c r="O16" i="2"/>
  <c r="J41" i="2"/>
  <c r="N19" i="2"/>
  <c r="O20" i="2"/>
  <c r="O15" i="2" l="1"/>
  <c r="N3" i="4" s="1"/>
  <c r="N14" i="2"/>
  <c r="K41" i="2"/>
  <c r="L41" i="2" s="1"/>
  <c r="M41" i="2" s="1"/>
  <c r="O19" i="2"/>
  <c r="O14" i="2" l="1"/>
  <c r="N21" i="4" s="1"/>
  <c r="N32" i="2"/>
  <c r="N36" i="2" l="1"/>
  <c r="O32" i="2"/>
  <c r="N9" i="4" l="1"/>
  <c r="N4" i="4"/>
  <c r="N40" i="2"/>
  <c r="O40" i="2" s="1"/>
  <c r="O36" i="2"/>
  <c r="N8" i="4" s="1"/>
  <c r="N5" i="4" l="1"/>
  <c r="N15" i="4"/>
  <c r="N18" i="4"/>
  <c r="N41" i="2"/>
  <c r="O41" i="2" s="1"/>
</calcChain>
</file>

<file path=xl/sharedStrings.xml><?xml version="1.0" encoding="utf-8"?>
<sst xmlns="http://schemas.openxmlformats.org/spreadsheetml/2006/main" count="138" uniqueCount="76">
  <si>
    <t>Aluguel</t>
  </si>
  <si>
    <t xml:space="preserve">Receita </t>
  </si>
  <si>
    <t>Custo e Despesa</t>
  </si>
  <si>
    <t xml:space="preserve">Despesas Fixas </t>
  </si>
  <si>
    <t xml:space="preserve">Planejamento Financeiro </t>
  </si>
  <si>
    <t xml:space="preserve">Fluxo de caixa operacional </t>
  </si>
  <si>
    <t xml:space="preserve">Investimento </t>
  </si>
  <si>
    <t>Fluxo de caixa Livre da Empresa (FCE)</t>
  </si>
  <si>
    <t xml:space="preserve">Emprestimo e Financiamento 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</si>
  <si>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</si>
  <si>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</si>
  <si>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</si>
  <si>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</si>
  <si>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</si>
  <si>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</si>
  <si>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</si>
  <si>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</si>
  <si>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</si>
  <si>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</si>
  <si>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</si>
  <si>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</si>
  <si>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Vendas de produto </t>
  </si>
  <si>
    <t xml:space="preserve">Verdas de serviços Prestados </t>
  </si>
  <si>
    <t xml:space="preserve">Outras Receitas </t>
  </si>
  <si>
    <t>Matéria --Prima</t>
  </si>
  <si>
    <t xml:space="preserve">Custo de Fabricação </t>
  </si>
  <si>
    <t xml:space="preserve">Seguro </t>
  </si>
  <si>
    <t xml:space="preserve">Sálario e Benefícios </t>
  </si>
  <si>
    <t>Serviços Publicos</t>
  </si>
  <si>
    <t xml:space="preserve">Comissões </t>
  </si>
  <si>
    <t>Markentig</t>
  </si>
  <si>
    <t>Fretes e Logistica</t>
  </si>
  <si>
    <t>Investimento Acumulado</t>
  </si>
  <si>
    <t>Carg</t>
  </si>
  <si>
    <t>IPCA</t>
  </si>
  <si>
    <t>SGA</t>
  </si>
  <si>
    <t xml:space="preserve">Depreciação&amp; Amortização </t>
  </si>
  <si>
    <t>Lucro Liquido do Período</t>
  </si>
  <si>
    <t>Lucro Liquido Acumulado</t>
  </si>
  <si>
    <t>Total</t>
  </si>
  <si>
    <t xml:space="preserve">Outras Despesas </t>
  </si>
  <si>
    <t xml:space="preserve">Impostos </t>
  </si>
  <si>
    <t xml:space="preserve">Premissas de Crescimento </t>
  </si>
  <si>
    <t xml:space="preserve">Despesas Variaveis </t>
  </si>
  <si>
    <t xml:space="preserve">Custo Variaveis </t>
  </si>
  <si>
    <t>Estrutura de custo</t>
  </si>
  <si>
    <t xml:space="preserve">Margem Operacional </t>
  </si>
  <si>
    <t xml:space="preserve">Margem Liquida </t>
  </si>
  <si>
    <t>Ano</t>
  </si>
  <si>
    <t>Indicadores de Rentabilidade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</si>
  <si>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</si>
  <si>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</si>
  <si>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</si>
  <si>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</si>
  <si>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</si>
  <si>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</si>
  <si>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</si>
  <si>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</si>
  <si>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</si>
  <si>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</si>
  <si>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</si>
  <si>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</si>
  <si>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Margem Bruta</t>
  </si>
  <si>
    <t>Realizado</t>
  </si>
  <si>
    <t>Rolling Forecast</t>
  </si>
  <si>
    <t>Indicadores de Liquidez e Caixa</t>
  </si>
  <si>
    <t>Indicadores de Crescimento</t>
  </si>
  <si>
    <t xml:space="preserve">Taxa de Conversão de Caixa </t>
  </si>
  <si>
    <t xml:space="preserve">Cobertura de Investimento </t>
  </si>
  <si>
    <r>
      <t>Taxa de Crescimento da Receita</t>
    </r>
    <r>
      <rPr>
        <sz val="12"/>
        <color theme="1"/>
        <rFont val="Times New Roman"/>
        <family val="1"/>
      </rPr>
      <t xml:space="preserve"> </t>
    </r>
  </si>
  <si>
    <r>
      <t>Taxa de Crescimento do Lucro Líquido</t>
    </r>
    <r>
      <rPr>
        <sz val="12"/>
        <color theme="1"/>
        <rFont val="Times New Roman"/>
        <family val="1"/>
      </rPr>
      <t xml:space="preserve"> </t>
    </r>
  </si>
  <si>
    <r>
      <t>Retorno sobre Investimento (ROI)</t>
    </r>
    <r>
      <rPr>
        <sz val="12"/>
        <color theme="1"/>
        <rFont val="Times New Roman"/>
        <family val="1"/>
      </rPr>
      <t xml:space="preserve"> </t>
    </r>
  </si>
  <si>
    <t>Indicadores de Estrutura de Capital</t>
  </si>
  <si>
    <r>
      <t>Alavancagem Financeira</t>
    </r>
    <r>
      <rPr>
        <sz val="12"/>
        <color theme="1"/>
        <rFont val="Times New Roman"/>
        <family val="1"/>
      </rPr>
      <t xml:space="preserve"> </t>
    </r>
  </si>
  <si>
    <t>Indicadores de Eficiência</t>
  </si>
  <si>
    <r>
      <t>Custo sobre Receita</t>
    </r>
    <r>
      <rPr>
        <sz val="12"/>
        <color theme="1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</si>
</sst>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R$&quot;\ #,##0.00"/>
    <numFmt numFmtId="166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 Black"/>
      <family val="2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theme="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165" fontId="0" fillId="0" borderId="0" xfId="0" applyNumberFormat="1"/>
    <xf numFmtId="0" fontId="5" fillId="2" borderId="0" xfId="0" applyFont="1" applyFill="1"/>
    <xf numFmtId="165" fontId="5" fillId="2" borderId="0" xfId="0" applyNumberFormat="1" applyFont="1" applyFill="1"/>
    <xf numFmtId="0" fontId="2" fillId="2" borderId="0" xfId="0" applyFont="1" applyFill="1"/>
    <xf numFmtId="165" fontId="2" fillId="2" borderId="0" xfId="0" applyNumberFormat="1" applyFont="1" applyFill="1"/>
    <xf numFmtId="0" fontId="2" fillId="0" borderId="0" xfId="0" applyFont="1"/>
    <xf numFmtId="0" fontId="2" fillId="3" borderId="0" xfId="0" applyFont="1" applyFill="1"/>
    <xf numFmtId="165" fontId="2" fillId="3" borderId="0" xfId="0" applyNumberFormat="1" applyFont="1" applyFill="1"/>
    <xf numFmtId="0" fontId="0" fillId="4" borderId="0" xfId="0" applyFill="1"/>
    <xf numFmtId="165" fontId="0" fillId="4" borderId="0" xfId="0" applyNumberFormat="1" applyFill="1"/>
    <xf numFmtId="0" fontId="6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9" fontId="3" fillId="0" borderId="0" xfId="0" applyNumberFormat="1" applyFont="1" applyFill="1" applyAlignment="1">
      <alignment horizontal="center"/>
    </xf>
    <xf numFmtId="10" fontId="3" fillId="0" borderId="0" xfId="0" applyNumberFormat="1" applyFont="1" applyFill="1" applyAlignment="1">
      <alignment horizontal="center"/>
    </xf>
    <xf numFmtId="166" fontId="3" fillId="0" borderId="0" xfId="0" applyNumberFormat="1" applyFont="1" applyFill="1" applyAlignment="1">
      <alignment horizontal="center"/>
    </xf>
    <xf numFmtId="9" fontId="0" fillId="0" borderId="0" xfId="1" applyFont="1"/>
    <xf numFmtId="9" fontId="3" fillId="0" borderId="0" xfId="1" applyFont="1" applyFill="1" applyAlignment="1">
      <alignment horizontal="center"/>
    </xf>
    <xf numFmtId="165" fontId="0" fillId="0" borderId="0" xfId="0" applyNumberFormat="1" applyFont="1" applyFill="1"/>
    <xf numFmtId="165" fontId="5" fillId="3" borderId="0" xfId="0" applyNumberFormat="1" applyFont="1" applyFill="1"/>
    <xf numFmtId="0" fontId="5" fillId="5" borderId="0" xfId="0" applyFont="1" applyFill="1"/>
    <xf numFmtId="165" fontId="5" fillId="5" borderId="0" xfId="0" applyNumberFormat="1" applyFont="1" applyFill="1"/>
    <xf numFmtId="165" fontId="4" fillId="0" borderId="0" xfId="0" applyNumberFormat="1" applyFont="1" applyFill="1"/>
    <xf numFmtId="0" fontId="0" fillId="0" borderId="0" xfId="0" applyFont="1"/>
    <xf numFmtId="0" fontId="0" fillId="6" borderId="0" xfId="0" applyFill="1"/>
    <xf numFmtId="0" fontId="0" fillId="5" borderId="0" xfId="0" applyFill="1"/>
    <xf numFmtId="0" fontId="5" fillId="5" borderId="0" xfId="0" applyFont="1" applyFill="1" applyAlignment="1">
      <alignment horizontal="center"/>
    </xf>
    <xf numFmtId="0" fontId="9" fillId="0" borderId="0" xfId="0" applyFont="1"/>
    <xf numFmtId="0" fontId="9" fillId="5" borderId="0" xfId="0" applyFont="1" applyFill="1"/>
    <xf numFmtId="0" fontId="4" fillId="5" borderId="0" xfId="0" applyFont="1" applyFill="1"/>
    <xf numFmtId="0" fontId="0" fillId="7" borderId="0" xfId="0" applyFill="1"/>
    <xf numFmtId="9" fontId="10" fillId="0" borderId="0" xfId="1" applyFont="1"/>
    <xf numFmtId="0" fontId="11" fillId="2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'Planejamento Financeiro '!$B$15</c:f>
              <c:strCache>
                <c:ptCount val="1"/>
                <c:pt idx="0">
                  <c:v>Custo Variaveis </c:v>
                </c:pt>
              </c:strCache>
            </c:strRef>
          </c:tx>
          <c:spPr>
            <a:solidFill>
              <a:schemeClr val="accent1">
                <a:alpha val="41000"/>
              </a:schemeClr>
            </a:solidFill>
            <a:ln>
              <a:solidFill>
                <a:schemeClr val="accent1">
                  <a:alpha val="98000"/>
                </a:schemeClr>
              </a:solidFill>
            </a:ln>
            <a:effectLst/>
          </c:spPr>
          <c:invertIfNegative val="0"/>
          <c:cat>
            <c:strRef>
              <c:f>'Planejamento Financeiro '!$C$8:$N$8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'Planejamento Financeiro '!$C$15:$N$15</c:f>
              <c:numCache>
                <c:formatCode>"R$"\ #,##0.00</c:formatCode>
                <c:ptCount val="12"/>
                <c:pt idx="0">
                  <c:v>19000</c:v>
                </c:pt>
                <c:pt idx="1">
                  <c:v>20562.939999999999</c:v>
                </c:pt>
                <c:pt idx="2">
                  <c:v>22254.447444400001</c:v>
                </c:pt>
                <c:pt idx="3">
                  <c:v>24085.098291176342</c:v>
                </c:pt>
                <c:pt idx="4">
                  <c:v>26066.338476608507</c:v>
                </c:pt>
                <c:pt idx="5">
                  <c:v>28210.555479694325</c:v>
                </c:pt>
                <c:pt idx="6">
                  <c:v>30531.155773453975</c:v>
                </c:pt>
                <c:pt idx="7">
                  <c:v>33042.648647378301</c:v>
                </c:pt>
                <c:pt idx="8">
                  <c:v>35760.736925111632</c:v>
                </c:pt>
                <c:pt idx="9">
                  <c:v>38702.415144571314</c:v>
                </c:pt>
                <c:pt idx="10">
                  <c:v>41886.07581436375</c:v>
                </c:pt>
                <c:pt idx="11">
                  <c:v>45331.624410853314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0-4EF7-B826-22A67D63A4C7}"/>
            </c:ext>
          </c:extLst>
        </c:ser>
        <c:ser>
          <c:idx val="1"/>
          <c:order val="1"/>
          <c:tx>
            <c:strRef>
              <c:f>'Planejamento Financeiro '!$B$19</c:f>
              <c:strCache>
                <c:ptCount val="1"/>
                <c:pt idx="0">
                  <c:v>Despesas Fixas </c:v>
                </c:pt>
              </c:strCache>
            </c:strRef>
          </c:tx>
          <c:spPr>
            <a:solidFill>
              <a:schemeClr val="accent2">
                <a:alpha val="49000"/>
              </a:schemeClr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'Planejamento Financeiro '!$C$8:$N$8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'Planejamento Financeiro '!$C$19:$N$19</c:f>
              <c:numCache>
                <c:formatCode>"R$"\ #,##0.00</c:formatCode>
                <c:ptCount val="12"/>
                <c:pt idx="0">
                  <c:v>15500</c:v>
                </c:pt>
                <c:pt idx="1">
                  <c:v>16062.882499999998</c:v>
                </c:pt>
                <c:pt idx="2">
                  <c:v>17384.215214449996</c:v>
                </c:pt>
                <c:pt idx="3">
                  <c:v>18814.24075799065</c:v>
                </c:pt>
                <c:pt idx="4">
                  <c:v>20361.90020274296</c:v>
                </c:pt>
                <c:pt idx="5">
                  <c:v>22036.870113420591</c:v>
                </c:pt>
                <c:pt idx="6">
                  <c:v>23849.623048950569</c:v>
                </c:pt>
                <c:pt idx="7">
                  <c:v>25811.493040957241</c:v>
                </c:pt>
                <c:pt idx="8">
                  <c:v>27934.746458506379</c:v>
                </c:pt>
                <c:pt idx="9">
                  <c:v>30232.658702183115</c:v>
                </c:pt>
                <c:pt idx="10">
                  <c:v>32719.597207024701</c:v>
                </c:pt>
                <c:pt idx="11">
                  <c:v>35411.111273274553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30-4EF7-B826-22A67D63A4C7}"/>
            </c:ext>
          </c:extLst>
        </c:ser>
        <c:ser>
          <c:idx val="2"/>
          <c:order val="2"/>
          <c:tx>
            <c:strRef>
              <c:f>'Planejamento Financeiro '!$B$25</c:f>
              <c:strCache>
                <c:ptCount val="1"/>
                <c:pt idx="0">
                  <c:v>Despesas Variaveis </c:v>
                </c:pt>
              </c:strCache>
            </c:strRef>
          </c:tx>
          <c:spPr>
            <a:solidFill>
              <a:schemeClr val="bg1">
                <a:lumMod val="75000"/>
                <a:alpha val="50000"/>
              </a:schemeClr>
            </a:solidFill>
            <a:ln>
              <a:solidFill>
                <a:schemeClr val="bg1">
                  <a:lumMod val="75000"/>
                  <a:alpha val="75000"/>
                </a:schemeClr>
              </a:solidFill>
            </a:ln>
            <a:effectLst/>
          </c:spPr>
          <c:invertIfNegative val="0"/>
          <c:cat>
            <c:strRef>
              <c:f>'Planejamento Financeiro '!$C$8:$N$8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'Planejamento Financeiro '!$C$25:$N$25</c:f>
              <c:numCache>
                <c:formatCode>"R$"\ #,##0.00</c:formatCode>
                <c:ptCount val="12"/>
                <c:pt idx="0">
                  <c:v>9700</c:v>
                </c:pt>
                <c:pt idx="1">
                  <c:v>10052.255499999997</c:v>
                </c:pt>
                <c:pt idx="2">
                  <c:v>10417.303158482497</c:v>
                </c:pt>
                <c:pt idx="3">
                  <c:v>10795.607522682785</c:v>
                </c:pt>
                <c:pt idx="4">
                  <c:v>11187.650009869008</c:v>
                </c:pt>
                <c:pt idx="5">
                  <c:v>11593.929519977399</c:v>
                </c:pt>
                <c:pt idx="6">
                  <c:v>12014.963070495376</c:v>
                </c:pt>
                <c:pt idx="7">
                  <c:v>12451.286454400413</c:v>
                </c:pt>
                <c:pt idx="8">
                  <c:v>12903.454921991961</c:v>
                </c:pt>
                <c:pt idx="9">
                  <c:v>13372.043887484095</c:v>
                </c:pt>
                <c:pt idx="10">
                  <c:v>13857.649661258078</c:v>
                </c:pt>
                <c:pt idx="11">
                  <c:v>14360.890208706662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30-4EF7-B826-22A67D63A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6"/>
        <c:overlap val="100"/>
        <c:axId val="1463140128"/>
        <c:axId val="1463143040"/>
      </c:barChart>
      <c:lineChart>
        <c:grouping val="standard"/>
        <c:varyColors val="0"/>
        <c:ser>
          <c:idx val="3"/>
          <c:order val="3"/>
          <c:tx>
            <c:strRef>
              <c:f>'Planejamento Financeiro '!$B$29</c:f>
              <c:strCache>
                <c:ptCount val="1"/>
                <c:pt idx="0">
                  <c:v>Outras Despesas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'Planejamento Financeiro '!$C$8:$N$8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'Planejamento Financeiro '!$C$29:$N$29</c:f>
              <c:numCache>
                <c:formatCode>"R$"\ #,##0.00</c:formatCode>
                <c:ptCount val="12"/>
                <c:pt idx="0">
                  <c:v>13000</c:v>
                </c:pt>
                <c:pt idx="1">
                  <c:v>14040.000000000002</c:v>
                </c:pt>
                <c:pt idx="2">
                  <c:v>15163.200000000003</c:v>
                </c:pt>
                <c:pt idx="3">
                  <c:v>16376.256000000003</c:v>
                </c:pt>
                <c:pt idx="4">
                  <c:v>17686.356480000006</c:v>
                </c:pt>
                <c:pt idx="5">
                  <c:v>19101.264998400009</c:v>
                </c:pt>
                <c:pt idx="6">
                  <c:v>20629.366198272011</c:v>
                </c:pt>
                <c:pt idx="7">
                  <c:v>22279.715494133772</c:v>
                </c:pt>
                <c:pt idx="8">
                  <c:v>24062.092733664475</c:v>
                </c:pt>
                <c:pt idx="9">
                  <c:v>25987.060152357633</c:v>
                </c:pt>
                <c:pt idx="10">
                  <c:v>28066.024964546246</c:v>
                </c:pt>
                <c:pt idx="11">
                  <c:v>30311.306961709946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30-4EF7-B826-22A67D63A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3140128"/>
        <c:axId val="1463143040"/>
      </c:lineChart>
      <c:catAx>
        <c:axId val="146314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463143040"/>
        <c:crosses val="autoZero"/>
        <c:auto val="1"/>
        <c:lblAlgn val="ctr"/>
        <c:lblOffset val="100"/>
        <c:noMultiLvlLbl val="0"/>
      </c:catAx>
      <c:valAx>
        <c:axId val="1463143040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46314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75000"/>
        <a:alpha val="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'Planejamento Financeiro '!$B$41</c:f>
              <c:strCache>
                <c:ptCount val="1"/>
                <c:pt idx="0">
                  <c:v>Lucro Liquido Acumulado</c:v>
                </c:pt>
              </c:strCache>
            </c:strRef>
          </c:tx>
          <c:spPr>
            <a:solidFill>
              <a:schemeClr val="accent2">
                <a:alpha val="50000"/>
              </a:schemeClr>
            </a:solidFill>
            <a:ln>
              <a:solidFill>
                <a:schemeClr val="tx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'Planejamento Financeiro '!$B$8:$N$8</c15:sqref>
                  </c15:fullRef>
                </c:ext>
              </c:extLst>
              <c:f>'Planejamento Financeiro '!$C$8:$N$8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'Planejamento Financeiro '!$B$41:$N$41</c15:sqref>
                  </c15:fullRef>
                </c:ext>
              </c:extLst>
              <c:f>'Planejamento Financeiro '!$C$41:$N$41</c:f>
              <c:numCache>
                <c:formatCode>"R$"\ #,##0.00</c:formatCode>
                <c:ptCount val="12"/>
                <c:pt idx="0">
                  <c:v>35800</c:v>
                </c:pt>
                <c:pt idx="1">
                  <c:v>80801.922000000006</c:v>
                </c:pt>
                <c:pt idx="2">
                  <c:v>124560.35618266751</c:v>
                </c:pt>
                <c:pt idx="3">
                  <c:v>175304.96161081776</c:v>
                </c:pt>
                <c:pt idx="4">
                  <c:v>227283.78908159732</c:v>
                </c:pt>
                <c:pt idx="5">
                  <c:v>283264.72742130503</c:v>
                </c:pt>
                <c:pt idx="6">
                  <c:v>340937.06245742913</c:v>
                </c:pt>
                <c:pt idx="7">
                  <c:v>406313.15739803913</c:v>
                </c:pt>
                <c:pt idx="8">
                  <c:v>470130.2640224428</c:v>
                </c:pt>
                <c:pt idx="9">
                  <c:v>544752.47481261904</c:v>
                </c:pt>
                <c:pt idx="10">
                  <c:v>614572.82693634043</c:v>
                </c:pt>
                <c:pt idx="11">
                  <c:v>690015.5698343832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4D-4949-8C27-C8B43B72E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8"/>
        <c:axId val="1463140128"/>
        <c:axId val="1463143040"/>
      </c:barChart>
      <c:lineChart>
        <c:grouping val="standard"/>
        <c:varyColors val="0"/>
        <c:ser>
          <c:idx val="0"/>
          <c:order val="0"/>
          <c:tx>
            <c:strRef>
              <c:f>'Planejamento Financeiro '!$B$40</c:f>
              <c:strCache>
                <c:ptCount val="1"/>
                <c:pt idx="0">
                  <c:v>Lucro Liquido do Período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'Planejamento Financeiro '!$B$8:$N$8</c15:sqref>
                  </c15:fullRef>
                </c:ext>
              </c:extLst>
              <c:f>'Planejamento Financeiro '!$C$8:$N$8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'Planejamento Financeiro '!$B$40:$N$40</c15:sqref>
                  </c15:fullRef>
                </c:ext>
              </c:extLst>
              <c:f>'Planejamento Financeiro '!$C$40:$N$40</c:f>
              <c:numCache>
                <c:formatCode>"R$"\ #,##0.00</c:formatCode>
                <c:ptCount val="12"/>
                <c:pt idx="0">
                  <c:v>35800</c:v>
                </c:pt>
                <c:pt idx="1">
                  <c:v>45001.922000000006</c:v>
                </c:pt>
                <c:pt idx="2">
                  <c:v>43758.434182667515</c:v>
                </c:pt>
                <c:pt idx="3">
                  <c:v>50744.605428150229</c:v>
                </c:pt>
                <c:pt idx="4">
                  <c:v>51978.827470779564</c:v>
                </c:pt>
                <c:pt idx="5">
                  <c:v>55980.938339707733</c:v>
                </c:pt>
                <c:pt idx="6">
                  <c:v>57672.335036124117</c:v>
                </c:pt>
                <c:pt idx="7">
                  <c:v>65376.094940609997</c:v>
                </c:pt>
                <c:pt idx="8">
                  <c:v>63817.106624403677</c:v>
                </c:pt>
                <c:pt idx="9">
                  <c:v>74622.210790176236</c:v>
                </c:pt>
                <c:pt idx="10">
                  <c:v>69820.352123721386</c:v>
                </c:pt>
                <c:pt idx="11">
                  <c:v>75442.742898042838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D-4949-8C27-C8B43B72E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3256976"/>
        <c:axId val="1603252816"/>
      </c:lineChart>
      <c:catAx>
        <c:axId val="146314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6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463143040"/>
        <c:crosses val="autoZero"/>
        <c:auto val="1"/>
        <c:lblAlgn val="ctr"/>
        <c:lblOffset val="100"/>
        <c:noMultiLvlLbl val="0"/>
      </c:catAx>
      <c:valAx>
        <c:axId val="1463143040"/>
        <c:scaling>
          <c:logBase val="10"/>
          <c:orientation val="minMax"/>
        </c:scaling>
        <c:delete val="0"/>
        <c:axPos val="l"/>
        <c:numFmt formatCode="&quot;R$&quot;\ #,##0.0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bg1"/>
                </a:solidFill>
                <a:latin typeface="+mj-lt"/>
                <a:ea typeface="+mn-ea"/>
                <a:cs typeface="+mn-cs"/>
              </a:defRPr>
            </a:pPr>
            <a:endParaRPr lang="pt-PT"/>
          </a:p>
        </c:txPr>
        <c:crossAx val="1463140128"/>
        <c:crosses val="autoZero"/>
        <c:crossBetween val="between"/>
      </c:valAx>
      <c:valAx>
        <c:axId val="1603252816"/>
        <c:scaling>
          <c:orientation val="minMax"/>
        </c:scaling>
        <c:delete val="0"/>
        <c:axPos val="r"/>
        <c:numFmt formatCode="&quot;R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603256976"/>
        <c:crosses val="max"/>
        <c:crossBetween val="between"/>
      </c:valAx>
      <c:catAx>
        <c:axId val="16032569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03252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700" b="1" i="0" u="none" strike="noStrike" kern="1200" baseline="0">
              <a:solidFill>
                <a:schemeClr val="bg1"/>
              </a:solidFill>
              <a:latin typeface="+mj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 algn="ctr">
        <a:defRPr lang="en-US" sz="700" b="1" i="0" u="none" strike="noStrike" kern="1200" baseline="0">
          <a:solidFill>
            <a:schemeClr val="bg1"/>
          </a:solidFill>
          <a:latin typeface="+mj-lt"/>
          <a:ea typeface="+mn-ea"/>
          <a:cs typeface="+mn-cs"/>
        </a:defRPr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'Planejamento Financeiro '!$B$33</c:f>
              <c:strCache>
                <c:ptCount val="1"/>
                <c:pt idx="0">
                  <c:v>Investimento </c:v>
                </c:pt>
              </c:strCache>
            </c:strRef>
          </c:tx>
          <c:spPr>
            <a:solidFill>
              <a:schemeClr val="accent1">
                <a:alpha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'Planejamento Financeiro '!$C$8:$N$8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'Planejamento Financeiro '!$C$33:$N$33</c:f>
              <c:numCache>
                <c:formatCode>"R$"\ #,##0.00</c:formatCode>
                <c:ptCount val="12"/>
                <c:pt idx="0">
                  <c:v>6000</c:v>
                </c:pt>
                <c:pt idx="2">
                  <c:v>4000</c:v>
                </c:pt>
                <c:pt idx="4">
                  <c:v>2000</c:v>
                </c:pt>
                <c:pt idx="5">
                  <c:v>1500</c:v>
                </c:pt>
                <c:pt idx="6">
                  <c:v>3600</c:v>
                </c:pt>
                <c:pt idx="8">
                  <c:v>6000</c:v>
                </c:pt>
                <c:pt idx="10">
                  <c:v>10000</c:v>
                </c:pt>
                <c:pt idx="1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F-4C3C-9484-E8FC21854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16125456"/>
        <c:axId val="1516129200"/>
      </c:barChart>
      <c:lineChart>
        <c:grouping val="standard"/>
        <c:varyColors val="0"/>
        <c:ser>
          <c:idx val="1"/>
          <c:order val="1"/>
          <c:tx>
            <c:strRef>
              <c:f>'Planejamento Financeiro '!$B$34</c:f>
              <c:strCache>
                <c:ptCount val="1"/>
                <c:pt idx="0">
                  <c:v>Investimento Acumulado</c:v>
                </c:pt>
              </c:strCache>
            </c:strRef>
          </c:tx>
          <c:spPr>
            <a:ln w="28575" cap="rnd">
              <a:solidFill>
                <a:schemeClr val="accent2">
                  <a:alpha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'Planejamento Financeiro '!$C$8:$N$8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'Planejamento Financeiro '!$C$34:$N$34</c:f>
              <c:numCache>
                <c:formatCode>"R$"\ #,##0.00</c:formatCode>
                <c:ptCount val="12"/>
                <c:pt idx="0">
                  <c:v>6000</c:v>
                </c:pt>
                <c:pt idx="1">
                  <c:v>6000</c:v>
                </c:pt>
                <c:pt idx="2">
                  <c:v>10000</c:v>
                </c:pt>
                <c:pt idx="3">
                  <c:v>10000</c:v>
                </c:pt>
                <c:pt idx="4">
                  <c:v>12000</c:v>
                </c:pt>
                <c:pt idx="5">
                  <c:v>13500</c:v>
                </c:pt>
                <c:pt idx="6">
                  <c:v>17100</c:v>
                </c:pt>
                <c:pt idx="7">
                  <c:v>17100</c:v>
                </c:pt>
                <c:pt idx="8">
                  <c:v>23100</c:v>
                </c:pt>
                <c:pt idx="9">
                  <c:v>23100</c:v>
                </c:pt>
                <c:pt idx="10">
                  <c:v>33100</c:v>
                </c:pt>
                <c:pt idx="11">
                  <c:v>43100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AF-4C3C-9484-E8FC21854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709120"/>
        <c:axId val="1574704128"/>
      </c:lineChart>
      <c:catAx>
        <c:axId val="151612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6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516129200"/>
        <c:crosses val="autoZero"/>
        <c:auto val="1"/>
        <c:lblAlgn val="ctr"/>
        <c:lblOffset val="100"/>
        <c:noMultiLvlLbl val="0"/>
      </c:catAx>
      <c:valAx>
        <c:axId val="1516129200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16125456"/>
        <c:crosses val="autoZero"/>
        <c:crossBetween val="between"/>
      </c:valAx>
      <c:valAx>
        <c:axId val="1574704128"/>
        <c:scaling>
          <c:orientation val="minMax"/>
        </c:scaling>
        <c:delete val="0"/>
        <c:axPos val="r"/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574709120"/>
        <c:crosses val="max"/>
        <c:crossBetween val="between"/>
      </c:valAx>
      <c:catAx>
        <c:axId val="1574709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4704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 algn="ctr">
        <a:defRPr lang="en-US" sz="700" b="1" i="0" u="none" strike="noStrike" kern="1200" baseline="0">
          <a:solidFill>
            <a:schemeClr val="bg1"/>
          </a:solidFill>
          <a:latin typeface="+mj-lt"/>
          <a:ea typeface="+mn-ea"/>
          <a:cs typeface="+mn-cs"/>
        </a:defRPr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59509864178845"/>
          <c:y val="6.3185598990357153E-2"/>
          <c:w val="0.84115252533020957"/>
          <c:h val="0.711541518838638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'Planejamento Financeiro '!$B$9</c:f>
              <c:strCache>
                <c:ptCount val="1"/>
                <c:pt idx="0">
                  <c:v>Receita </c:v>
                </c:pt>
              </c:strCache>
            </c:strRef>
          </c:tx>
          <c:spPr>
            <a:solidFill>
              <a:schemeClr val="accent2">
                <a:lumMod val="75000"/>
                <a:alpha val="47000"/>
              </a:schemeClr>
            </a:solidFill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'Planejamento Financeiro '!$C$8:$N$8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'Planejamento Financeiro '!$C$9:$N$9</c:f>
              <c:numCache>
                <c:formatCode>"R$"\ #,##0.00</c:formatCode>
                <c:ptCount val="12"/>
                <c:pt idx="0">
                  <c:v>84000</c:v>
                </c:pt>
                <c:pt idx="1">
                  <c:v>90720</c:v>
                </c:pt>
                <c:pt idx="2">
                  <c:v>97977.600000000006</c:v>
                </c:pt>
                <c:pt idx="3">
                  <c:v>105815.80800000002</c:v>
                </c:pt>
                <c:pt idx="4">
                  <c:v>114281.07264000004</c:v>
                </c:pt>
                <c:pt idx="5">
                  <c:v>123423.55845120005</c:v>
                </c:pt>
                <c:pt idx="6">
                  <c:v>133297.44312729605</c:v>
                </c:pt>
                <c:pt idx="7">
                  <c:v>143961.23857747973</c:v>
                </c:pt>
                <c:pt idx="8">
                  <c:v>155478.13766367812</c:v>
                </c:pt>
                <c:pt idx="9">
                  <c:v>167916.38867677239</c:v>
                </c:pt>
                <c:pt idx="10">
                  <c:v>181349.69977091416</c:v>
                </c:pt>
                <c:pt idx="11">
                  <c:v>195857.67575258733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9-4F5B-81DF-13F1530F5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axId val="1457211168"/>
        <c:axId val="1457212000"/>
      </c:barChart>
      <c:lineChart>
        <c:grouping val="standard"/>
        <c:varyColors val="0"/>
        <c:ser>
          <c:idx val="1"/>
          <c:order val="1"/>
          <c:tx>
            <c:strRef>
              <c:f>'Planejamento Financeiro '!$B$14</c:f>
              <c:strCache>
                <c:ptCount val="1"/>
                <c:pt idx="0">
                  <c:v>Custo e Despesa</c:v>
                </c:pt>
              </c:strCache>
            </c:strRef>
          </c:tx>
          <c:spPr>
            <a:ln w="34925" cap="rnd">
              <a:solidFill>
                <a:schemeClr val="accent5">
                  <a:alpha val="86000"/>
                </a:schemeClr>
              </a:solidFill>
              <a:prstDash val="sysDash"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'Planejamento Financeiro '!$C$8:$N$8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'Planejamento Financeiro '!$C$14:$N$14</c:f>
              <c:numCache>
                <c:formatCode>"R$"\ #,##0.00</c:formatCode>
                <c:ptCount val="12"/>
                <c:pt idx="0">
                  <c:v>57200</c:v>
                </c:pt>
                <c:pt idx="1">
                  <c:v>60718.077999999994</c:v>
                </c:pt>
                <c:pt idx="2">
                  <c:v>65219.16581733249</c:v>
                </c:pt>
                <c:pt idx="3">
                  <c:v>70071.20257184979</c:v>
                </c:pt>
                <c:pt idx="4">
                  <c:v>75302.245169220478</c:v>
                </c:pt>
                <c:pt idx="5">
                  <c:v>80942.620111492317</c:v>
                </c:pt>
                <c:pt idx="6">
                  <c:v>87025.108091171933</c:v>
                </c:pt>
                <c:pt idx="7">
                  <c:v>93585.143636869732</c:v>
                </c:pt>
                <c:pt idx="8">
                  <c:v>100661.03103927444</c:v>
                </c:pt>
                <c:pt idx="9">
                  <c:v>108294.17788659615</c:v>
                </c:pt>
                <c:pt idx="10">
                  <c:v>116529.34764719277</c:v>
                </c:pt>
                <c:pt idx="11">
                  <c:v>125414.93285454449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39-4F5B-81DF-13F1530F5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7211168"/>
        <c:axId val="1457212000"/>
      </c:lineChart>
      <c:catAx>
        <c:axId val="145721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57212000"/>
        <c:crosses val="autoZero"/>
        <c:auto val="1"/>
        <c:lblAlgn val="ctr"/>
        <c:lblOffset val="100"/>
        <c:noMultiLvlLbl val="0"/>
      </c:catAx>
      <c:valAx>
        <c:axId val="1457212000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45721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330263203163939"/>
          <c:y val="0.88322658245942798"/>
          <c:w val="0.42743863967722334"/>
          <c:h val="9.54385321149943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'Planejamento Financeiro '!$B$32</c:f>
              <c:strCache>
                <c:ptCount val="1"/>
                <c:pt idx="0">
                  <c:v>Fluxo de caixa operacional </c:v>
                </c:pt>
              </c:strCache>
            </c:strRef>
          </c:tx>
          <c:spPr>
            <a:solidFill>
              <a:schemeClr val="accent2">
                <a:alpha val="5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trendline>
            <c:spPr>
              <a:ln w="25400" cap="rnd">
                <a:solidFill>
                  <a:srgbClr val="FF0000">
                    <a:alpha val="53000"/>
                  </a:srgbClr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6">
                    <a:alpha val="94000"/>
                  </a:schemeClr>
                </a:solidFill>
                <a:prstDash val="sysDash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'Planejamento Financeiro '!$C$8:$N$8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'Planejamento Financeiro '!$B$32:$N$32</c:f>
              <c:numCache>
                <c:formatCode>"R$"\ #,##0.00</c:formatCode>
                <c:ptCount val="13"/>
                <c:pt idx="0" formatCode="General">
                  <c:v>0</c:v>
                </c:pt>
                <c:pt idx="1">
                  <c:v>26800</c:v>
                </c:pt>
                <c:pt idx="2">
                  <c:v>30001.922000000006</c:v>
                </c:pt>
                <c:pt idx="3">
                  <c:v>32758.434182667515</c:v>
                </c:pt>
                <c:pt idx="4">
                  <c:v>35744.605428150229</c:v>
                </c:pt>
                <c:pt idx="5">
                  <c:v>38978.827470779564</c:v>
                </c:pt>
                <c:pt idx="6">
                  <c:v>42480.938339707733</c:v>
                </c:pt>
                <c:pt idx="7">
                  <c:v>46272.335036124117</c:v>
                </c:pt>
                <c:pt idx="8">
                  <c:v>50376.094940609997</c:v>
                </c:pt>
                <c:pt idx="9">
                  <c:v>54817.106624403677</c:v>
                </c:pt>
                <c:pt idx="10">
                  <c:v>59622.210790176236</c:v>
                </c:pt>
                <c:pt idx="11">
                  <c:v>64820.352123721386</c:v>
                </c:pt>
                <c:pt idx="12">
                  <c:v>70442.742898042838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B-442F-9CB9-83ADD8991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20866016"/>
        <c:axId val="1520865184"/>
      </c:barChart>
      <c:catAx>
        <c:axId val="152086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6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520865184"/>
        <c:crossesAt val="0"/>
        <c:auto val="1"/>
        <c:lblAlgn val="ctr"/>
        <c:lblOffset val="100"/>
        <c:noMultiLvlLbl val="0"/>
      </c:catAx>
      <c:valAx>
        <c:axId val="1520865184"/>
        <c:scaling>
          <c:orientation val="minMax"/>
        </c:scaling>
        <c:delete val="0"/>
        <c:axPos val="l"/>
        <c:numFmt formatCode="&quot;R$&quot;\ 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52086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'Planejamento Financeiro '!$B$36</c:f>
              <c:strCache>
                <c:ptCount val="1"/>
                <c:pt idx="0">
                  <c:v>Fluxo de caixa Livre da Empresa (FCE)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'Planejamento Financeiro '!$C$8:$N$8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'Planejamento Financeiro '!$C$36:$N$36</c:f>
              <c:numCache>
                <c:formatCode>"R$"\ #,##0.00</c:formatCode>
                <c:ptCount val="12"/>
                <c:pt idx="0">
                  <c:v>20800</c:v>
                </c:pt>
                <c:pt idx="1">
                  <c:v>30001.922000000006</c:v>
                </c:pt>
                <c:pt idx="2">
                  <c:v>28758.434182667515</c:v>
                </c:pt>
                <c:pt idx="3">
                  <c:v>35744.605428150229</c:v>
                </c:pt>
                <c:pt idx="4">
                  <c:v>36978.827470779564</c:v>
                </c:pt>
                <c:pt idx="5">
                  <c:v>40980.938339707733</c:v>
                </c:pt>
                <c:pt idx="6">
                  <c:v>42672.335036124117</c:v>
                </c:pt>
                <c:pt idx="7">
                  <c:v>50376.094940609997</c:v>
                </c:pt>
                <c:pt idx="8">
                  <c:v>48817.106624403677</c:v>
                </c:pt>
                <c:pt idx="9">
                  <c:v>59622.210790176236</c:v>
                </c:pt>
                <c:pt idx="10">
                  <c:v>54820.352123721386</c:v>
                </c:pt>
                <c:pt idx="11">
                  <c:v>60442.742898042838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32-4D7B-85A9-B1BD8A008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260816"/>
        <c:axId val="671263312"/>
      </c:lineChart>
      <c:catAx>
        <c:axId val="67126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671263312"/>
        <c:crosses val="autoZero"/>
        <c:auto val="1"/>
        <c:lblAlgn val="ctr"/>
        <c:lblOffset val="100"/>
        <c:noMultiLvlLbl val="0"/>
      </c:catAx>
      <c:valAx>
        <c:axId val="671263312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7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67126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13" Type="http://schemas.openxmlformats.org/officeDocument/2006/relationships/image" Target="../media/image7.png"/><Relationship Id="rId18" Type="http://schemas.openxmlformats.org/officeDocument/2006/relationships/image" Target="../media/image12.sv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17" Type="http://schemas.openxmlformats.org/officeDocument/2006/relationships/image" Target="../media/image11.png"/><Relationship Id="rId2" Type="http://schemas.openxmlformats.org/officeDocument/2006/relationships/chart" Target="../charts/chart2.xml"/><Relationship Id="rId16" Type="http://schemas.openxmlformats.org/officeDocument/2006/relationships/image" Target="../media/image10.svg"/><Relationship Id="rId20" Type="http://schemas.openxmlformats.org/officeDocument/2006/relationships/image" Target="../media/image14.sv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5" Type="http://schemas.openxmlformats.org/officeDocument/2006/relationships/chart" Target="../charts/chart5.xml"/><Relationship Id="rId15" Type="http://schemas.openxmlformats.org/officeDocument/2006/relationships/image" Target="../media/image9.png"/><Relationship Id="rId10" Type="http://schemas.openxmlformats.org/officeDocument/2006/relationships/image" Target="../media/image4.svg"/><Relationship Id="rId19" Type="http://schemas.openxmlformats.org/officeDocument/2006/relationships/image" Target="../media/image13.png"/><Relationship Id="rId4" Type="http://schemas.openxmlformats.org/officeDocument/2006/relationships/chart" Target="../charts/chart4.xml"/><Relationship Id="rId9" Type="http://schemas.openxmlformats.org/officeDocument/2006/relationships/image" Target="../media/image3.png"/><Relationship Id="rId14" Type="http://schemas.openxmlformats.org/officeDocument/2006/relationships/image" Target="../media/image8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258833</xdr:colOff>
      <xdr:row>70</xdr:row>
      <xdr:rowOff>176027</xdr:rowOff>
    </xdr:from>
    <xdr:to>
      <xdr:col>12</xdr:col>
      <xdr:colOff>653712</xdr:colOff>
      <xdr:row>87</xdr:row>
      <xdr:rowOff>121796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079223" y="13535767"/>
          <a:ext cx="10192021" cy="3100152"/>
        </a:xfrm>
        <a:prstGeom prst="roundRect">
          <a:avLst/>
        </a:prstGeom>
        <a:solidFill>
          <a:schemeClr val="bg1">
            <a:lumMod val="75000"/>
            <a:alpha val="11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30908</xdr:colOff>
      <xdr:row>6</xdr:row>
      <xdr:rowOff>148139</xdr:rowOff>
    </xdr:from>
    <xdr:to>
      <xdr:col>29</xdr:col>
      <xdr:colOff>607276</xdr:colOff>
      <xdr:row>20</xdr:row>
      <xdr:rowOff>31635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1831325" y="1227639"/>
          <a:ext cx="6100868" cy="2402329"/>
        </a:xfrm>
        <a:prstGeom prst="roundRect">
          <a:avLst>
            <a:gd name="adj" fmla="val 489"/>
          </a:avLst>
        </a:prstGeom>
        <a:solidFill>
          <a:schemeClr val="tx2">
            <a:lumMod val="20000"/>
            <a:lumOff val="80000"/>
            <a:alpha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PT" sz="1600" b="1">
              <a:solidFill>
                <a:schemeClr val="lt1"/>
              </a:solidFill>
              <a:latin typeface="+mn-lt"/>
              <a:ea typeface="+mn-ea"/>
              <a:cs typeface="+mn-cs"/>
            </a:rPr>
            <a:t>Investimento</a:t>
          </a:r>
          <a:r>
            <a:rPr lang="pt-PT" sz="16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pt-PT" sz="1600" b="1">
              <a:solidFill>
                <a:schemeClr val="lt1"/>
              </a:solidFill>
              <a:latin typeface="+mn-lt"/>
              <a:ea typeface="+mn-ea"/>
              <a:cs typeface="+mn-cs"/>
            </a:rPr>
            <a:t>x Investimento</a:t>
          </a:r>
          <a:r>
            <a:rPr lang="pt-PT" sz="16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pt-PT" sz="1600" b="1">
              <a:solidFill>
                <a:schemeClr val="lt1"/>
              </a:solidFill>
              <a:latin typeface="+mn-lt"/>
              <a:ea typeface="+mn-ea"/>
              <a:cs typeface="+mn-cs"/>
            </a:rPr>
            <a:t>Acumulado</a:t>
          </a:r>
        </a:p>
      </xdr:txBody>
    </xdr:sp>
    <xdr:clientData/>
  </xdr:twoCellAnchor>
  <xdr:twoCellAnchor>
    <xdr:from>
      <xdr:col>10</xdr:col>
      <xdr:colOff>286593</xdr:colOff>
      <xdr:row>6</xdr:row>
      <xdr:rowOff>131956</xdr:rowOff>
    </xdr:from>
    <xdr:to>
      <xdr:col>19</xdr:col>
      <xdr:colOff>517521</xdr:colOff>
      <xdr:row>20</xdr:row>
      <xdr:rowOff>28787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>
          <a:off x="5948676" y="1211456"/>
          <a:ext cx="5755428" cy="2415664"/>
        </a:xfrm>
        <a:prstGeom prst="roundRect">
          <a:avLst>
            <a:gd name="adj" fmla="val 489"/>
          </a:avLst>
        </a:prstGeom>
        <a:solidFill>
          <a:schemeClr val="tx2">
            <a:lumMod val="20000"/>
            <a:lumOff val="80000"/>
            <a:alpha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PT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Lucro Liquido x Lucro Acumulado</a:t>
          </a:r>
          <a:endParaRPr lang="pt-PT" sz="1600">
            <a:effectLst/>
          </a:endParaRPr>
        </a:p>
      </xdr:txBody>
    </xdr:sp>
    <xdr:clientData/>
  </xdr:twoCellAnchor>
  <xdr:twoCellAnchor>
    <xdr:from>
      <xdr:col>1</xdr:col>
      <xdr:colOff>67310</xdr:colOff>
      <xdr:row>6</xdr:row>
      <xdr:rowOff>143481</xdr:rowOff>
    </xdr:from>
    <xdr:to>
      <xdr:col>10</xdr:col>
      <xdr:colOff>175048</xdr:colOff>
      <xdr:row>20</xdr:row>
      <xdr:rowOff>63172</xdr:rowOff>
    </xdr:to>
    <xdr:sp macro="" textlink="">
      <xdr:nvSpPr>
        <xdr:cNvPr id="41" name="Retângulo: Cantos Arredondados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204893" y="1222981"/>
          <a:ext cx="5632238" cy="2438524"/>
        </a:xfrm>
        <a:prstGeom prst="roundRect">
          <a:avLst>
            <a:gd name="adj" fmla="val 489"/>
          </a:avLst>
        </a:prstGeom>
        <a:solidFill>
          <a:schemeClr val="tx2">
            <a:lumMod val="20000"/>
            <a:lumOff val="80000"/>
            <a:alpha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PT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Composição</a:t>
          </a:r>
          <a:r>
            <a:rPr lang="pt-PT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PT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Custo</a:t>
          </a:r>
          <a:r>
            <a:rPr lang="pt-PT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 Despesas </a:t>
          </a:r>
        </a:p>
        <a:p>
          <a:endParaRPr lang="pt-PT" sz="1600">
            <a:effectLst/>
          </a:endParaRPr>
        </a:p>
      </xdr:txBody>
    </xdr:sp>
    <xdr:clientData/>
  </xdr:twoCellAnchor>
  <xdr:twoCellAnchor>
    <xdr:from>
      <xdr:col>1</xdr:col>
      <xdr:colOff>59055</xdr:colOff>
      <xdr:row>8</xdr:row>
      <xdr:rowOff>17357</xdr:rowOff>
    </xdr:from>
    <xdr:to>
      <xdr:col>9</xdr:col>
      <xdr:colOff>558165</xdr:colOff>
      <xdr:row>19</xdr:row>
      <xdr:rowOff>20955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277073</xdr:colOff>
      <xdr:row>9</xdr:row>
      <xdr:rowOff>86572</xdr:rowOff>
    </xdr:from>
    <xdr:to>
      <xdr:col>19</xdr:col>
      <xdr:colOff>133775</xdr:colOff>
      <xdr:row>20</xdr:row>
      <xdr:rowOff>21167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16297</xdr:colOff>
      <xdr:row>8</xdr:row>
      <xdr:rowOff>173144</xdr:rowOff>
    </xdr:from>
    <xdr:to>
      <xdr:col>29</xdr:col>
      <xdr:colOff>416560</xdr:colOff>
      <xdr:row>19</xdr:row>
      <xdr:rowOff>9737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12489</xdr:colOff>
      <xdr:row>21</xdr:row>
      <xdr:rowOff>132220</xdr:rowOff>
    </xdr:from>
    <xdr:to>
      <xdr:col>10</xdr:col>
      <xdr:colOff>142452</xdr:colOff>
      <xdr:row>37</xdr:row>
      <xdr:rowOff>134760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150072" y="3910470"/>
          <a:ext cx="5654463" cy="2881207"/>
        </a:xfrm>
        <a:prstGeom prst="roundRect">
          <a:avLst>
            <a:gd name="adj" fmla="val 489"/>
          </a:avLst>
        </a:prstGeom>
        <a:solidFill>
          <a:schemeClr val="tx2">
            <a:lumMod val="20000"/>
            <a:lumOff val="80000"/>
            <a:alpha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PT" sz="1600" b="1">
              <a:solidFill>
                <a:schemeClr val="lt1"/>
              </a:solidFill>
              <a:latin typeface="+mn-lt"/>
              <a:ea typeface="+mn-ea"/>
              <a:cs typeface="+mn-cs"/>
            </a:rPr>
            <a:t>Evolução</a:t>
          </a:r>
          <a:r>
            <a:rPr lang="pt-PT" sz="16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de Receita x Custo </a:t>
          </a:r>
          <a:endParaRPr lang="pt-PT" sz="16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58627</xdr:colOff>
      <xdr:row>24</xdr:row>
      <xdr:rowOff>48048</xdr:rowOff>
    </xdr:from>
    <xdr:to>
      <xdr:col>9</xdr:col>
      <xdr:colOff>486833</xdr:colOff>
      <xdr:row>36</xdr:row>
      <xdr:rowOff>130809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31750</xdr:colOff>
      <xdr:row>21</xdr:row>
      <xdr:rowOff>151410</xdr:rowOff>
    </xdr:from>
    <xdr:to>
      <xdr:col>29</xdr:col>
      <xdr:colOff>456142</xdr:colOff>
      <xdr:row>37</xdr:row>
      <xdr:rowOff>142452</xdr:rowOff>
    </xdr:to>
    <xdr:sp macro="" textlink="">
      <xdr:nvSpPr>
        <xdr:cNvPr id="37" name="Retângulo: Cantos Arredondados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11832167" y="3929660"/>
          <a:ext cx="5948892" cy="2869709"/>
        </a:xfrm>
        <a:prstGeom prst="roundRect">
          <a:avLst>
            <a:gd name="adj" fmla="val 489"/>
          </a:avLst>
        </a:prstGeom>
        <a:solidFill>
          <a:schemeClr val="tx2">
            <a:lumMod val="20000"/>
            <a:lumOff val="80000"/>
            <a:alpha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PT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Fluxo de caixa operacional </a:t>
          </a:r>
          <a:r>
            <a:rPr lang="pt-PT" sz="1600" b="1"/>
            <a:t> </a:t>
          </a:r>
          <a:endParaRPr lang="pt-PT" sz="16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351999</xdr:colOff>
      <xdr:row>23</xdr:row>
      <xdr:rowOff>20109</xdr:rowOff>
    </xdr:from>
    <xdr:to>
      <xdr:col>29</xdr:col>
      <xdr:colOff>396451</xdr:colOff>
      <xdr:row>36</xdr:row>
      <xdr:rowOff>65405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296333</xdr:colOff>
      <xdr:row>21</xdr:row>
      <xdr:rowOff>130175</xdr:rowOff>
    </xdr:from>
    <xdr:to>
      <xdr:col>19</xdr:col>
      <xdr:colOff>520488</xdr:colOff>
      <xdr:row>37</xdr:row>
      <xdr:rowOff>134620</xdr:rowOff>
    </xdr:to>
    <xdr:sp macro="" textlink="">
      <xdr:nvSpPr>
        <xdr:cNvPr id="44" name="Retângulo: Cantos Arredondados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5958416" y="3908425"/>
          <a:ext cx="5748655" cy="2883112"/>
        </a:xfrm>
        <a:prstGeom prst="roundRect">
          <a:avLst>
            <a:gd name="adj" fmla="val 489"/>
          </a:avLst>
        </a:prstGeom>
        <a:solidFill>
          <a:schemeClr val="tx2">
            <a:lumMod val="20000"/>
            <a:lumOff val="80000"/>
            <a:alpha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PT" sz="16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Fluxo de caixa da</a:t>
          </a:r>
          <a:r>
            <a:rPr lang="pt-PT" sz="16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Empresa</a:t>
          </a:r>
          <a:r>
            <a:rPr lang="pt-PT" sz="16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PT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t-PT" sz="1600">
            <a:effectLst/>
          </a:endParaRPr>
        </a:p>
      </xdr:txBody>
    </xdr:sp>
    <xdr:clientData/>
  </xdr:twoCellAnchor>
  <xdr:twoCellAnchor>
    <xdr:from>
      <xdr:col>1</xdr:col>
      <xdr:colOff>254845</xdr:colOff>
      <xdr:row>0</xdr:row>
      <xdr:rowOff>40215</xdr:rowOff>
    </xdr:from>
    <xdr:to>
      <xdr:col>5</xdr:col>
      <xdr:colOff>10582</xdr:colOff>
      <xdr:row>5</xdr:row>
      <xdr:rowOff>139003</xdr:rowOff>
    </xdr:to>
    <xdr:sp macro="" textlink="'Indicadores Financeiros  '!$N$3">
      <xdr:nvSpPr>
        <xdr:cNvPr id="47" name="Retângulo: Cantos Arredondados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392428" y="40215"/>
          <a:ext cx="2211071" cy="998371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lvl="2" algn="ctr"/>
          <a:fld id="{CE6DA702-FAC3-4F77-8BCA-965FC29A62A3}" type="TxLink">
            <a:rPr lang="en-US" sz="2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lvl="2" algn="ctr"/>
            <a:t>77%</a:t>
          </a:fld>
          <a:endParaRPr lang="pt-PT" sz="20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254844</xdr:colOff>
      <xdr:row>0</xdr:row>
      <xdr:rowOff>51012</xdr:rowOff>
    </xdr:from>
    <xdr:to>
      <xdr:col>5</xdr:col>
      <xdr:colOff>310701</xdr:colOff>
      <xdr:row>2</xdr:row>
      <xdr:rowOff>22181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 txBox="1"/>
      </xdr:nvSpPr>
      <xdr:spPr>
        <a:xfrm>
          <a:off x="392427" y="51012"/>
          <a:ext cx="2511191" cy="331002"/>
        </a:xfrm>
        <a:prstGeom prst="rect">
          <a:avLst/>
        </a:prstGeom>
        <a:noFill/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t-PT" sz="14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Magem</a:t>
          </a:r>
          <a:r>
            <a:rPr lang="pt-PT" sz="16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pt-PT" sz="14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Bruta</a:t>
          </a:r>
        </a:p>
      </xdr:txBody>
    </xdr:sp>
    <xdr:clientData/>
  </xdr:twoCellAnchor>
  <xdr:twoCellAnchor>
    <xdr:from>
      <xdr:col>5</xdr:col>
      <xdr:colOff>124457</xdr:colOff>
      <xdr:row>0</xdr:row>
      <xdr:rowOff>80775</xdr:rowOff>
    </xdr:from>
    <xdr:to>
      <xdr:col>8</xdr:col>
      <xdr:colOff>503130</xdr:colOff>
      <xdr:row>5</xdr:row>
      <xdr:rowOff>143510</xdr:rowOff>
    </xdr:to>
    <xdr:sp macro="" textlink="'Indicadores Financeiros  '!$N$4">
      <xdr:nvSpPr>
        <xdr:cNvPr id="61" name="Retângulo: Cantos Arredondados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>
        <a:xfrm>
          <a:off x="2717374" y="80775"/>
          <a:ext cx="2220173" cy="962318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914400" lvl="2" indent="0" algn="ctr"/>
          <a:fld id="{A2573F2B-2400-46DC-9385-9625E32D57B3}" type="TxLink">
            <a:rPr lang="en-US" sz="2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marL="914400" lvl="2" indent="0" algn="ctr"/>
            <a:t>35%</a:t>
          </a:fld>
          <a:endParaRPr lang="pt-PT" sz="2400" b="1" i="0" u="none" strike="noStrike">
            <a:solidFill>
              <a:schemeClr val="bg1"/>
            </a:solidFill>
            <a:latin typeface="Arial" panose="020B0604020202020204" pitchFamily="34" charset="0"/>
            <a:ea typeface="Calibri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199388</xdr:colOff>
      <xdr:row>0</xdr:row>
      <xdr:rowOff>75566</xdr:rowOff>
    </xdr:from>
    <xdr:to>
      <xdr:col>9</xdr:col>
      <xdr:colOff>296332</xdr:colOff>
      <xdr:row>2</xdr:row>
      <xdr:rowOff>1906</xdr:rowOff>
    </xdr:to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 txBox="1"/>
      </xdr:nvSpPr>
      <xdr:spPr>
        <a:xfrm>
          <a:off x="2792305" y="75566"/>
          <a:ext cx="2552277" cy="286173"/>
        </a:xfrm>
        <a:prstGeom prst="rect">
          <a:avLst/>
        </a:prstGeom>
        <a:noFill/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4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Margem</a:t>
          </a:r>
          <a:r>
            <a:rPr lang="pt-PT" sz="1600" b="0" i="0" u="none" strike="noStrike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PT" sz="14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Operacional</a:t>
          </a:r>
          <a:r>
            <a:rPr lang="pt-PT" sz="1600" b="0" i="0" u="none" strike="noStrike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PT" sz="1600">
              <a:solidFill>
                <a:schemeClr val="accent2"/>
              </a:solidFill>
              <a:effectLst/>
            </a:rPr>
            <a:t> </a:t>
          </a:r>
          <a:endParaRPr lang="pt-PT" sz="1600" b="1">
            <a:ln>
              <a:noFill/>
            </a:ln>
            <a:solidFill>
              <a:schemeClr val="accent2"/>
            </a:solidFill>
          </a:endParaRPr>
        </a:p>
      </xdr:txBody>
    </xdr:sp>
    <xdr:clientData/>
  </xdr:twoCellAnchor>
  <xdr:twoCellAnchor>
    <xdr:from>
      <xdr:col>9</xdr:col>
      <xdr:colOff>5079</xdr:colOff>
      <xdr:row>0</xdr:row>
      <xdr:rowOff>81704</xdr:rowOff>
    </xdr:from>
    <xdr:to>
      <xdr:col>12</xdr:col>
      <xdr:colOff>349248</xdr:colOff>
      <xdr:row>5</xdr:row>
      <xdr:rowOff>142452</xdr:rowOff>
    </xdr:to>
    <xdr:sp macro="" textlink="'Indicadores Financeiros  '!$N$5">
      <xdr:nvSpPr>
        <xdr:cNvPr id="64" name="Retângulo: Cantos Arredondados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5053329" y="81704"/>
          <a:ext cx="2185669" cy="960331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914400" lvl="2" indent="0" algn="ctr"/>
          <a:fld id="{A7005B29-25DA-47F2-BF8C-57B3647D29B6}" type="TxLink">
            <a:rPr lang="en-US" sz="2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marL="914400" lvl="2" indent="0" algn="ctr"/>
            <a:t>43%</a:t>
          </a:fld>
          <a:endParaRPr lang="pt-PT" sz="2400" b="1" i="0" u="none" strike="noStrike">
            <a:solidFill>
              <a:schemeClr val="bg1"/>
            </a:solidFill>
            <a:latin typeface="Arial" panose="020B0604020202020204" pitchFamily="34" charset="0"/>
            <a:ea typeface="Calibri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24341</xdr:colOff>
      <xdr:row>0</xdr:row>
      <xdr:rowOff>81071</xdr:rowOff>
    </xdr:from>
    <xdr:to>
      <xdr:col>12</xdr:col>
      <xdr:colOff>282093</xdr:colOff>
      <xdr:row>2</xdr:row>
      <xdr:rowOff>38938</xdr:rowOff>
    </xdr:to>
    <xdr:sp macro="" textlink="">
      <xdr:nvSpPr>
        <xdr:cNvPr id="65" name="CaixaDeTexto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 txBox="1"/>
      </xdr:nvSpPr>
      <xdr:spPr>
        <a:xfrm>
          <a:off x="5072591" y="81071"/>
          <a:ext cx="2099252" cy="317700"/>
        </a:xfrm>
        <a:prstGeom prst="rect">
          <a:avLst/>
        </a:prstGeom>
        <a:noFill/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4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Margem</a:t>
          </a:r>
          <a:r>
            <a:rPr lang="pt-P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PT" sz="14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Liquida</a:t>
          </a:r>
          <a:r>
            <a:rPr lang="pt-P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PT" sz="1600">
              <a:effectLst/>
            </a:rPr>
            <a:t> </a:t>
          </a:r>
          <a:endParaRPr lang="pt-PT" sz="16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24976</xdr:colOff>
      <xdr:row>0</xdr:row>
      <xdr:rowOff>133987</xdr:rowOff>
    </xdr:from>
    <xdr:to>
      <xdr:col>22</xdr:col>
      <xdr:colOff>385233</xdr:colOff>
      <xdr:row>2</xdr:row>
      <xdr:rowOff>49109</xdr:rowOff>
    </xdr:to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 txBox="1"/>
      </xdr:nvSpPr>
      <xdr:spPr>
        <a:xfrm>
          <a:off x="11825393" y="133987"/>
          <a:ext cx="1587923" cy="274955"/>
        </a:xfrm>
        <a:prstGeom prst="rect">
          <a:avLst/>
        </a:prstGeom>
        <a:noFill/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600" b="1">
              <a:ln>
                <a:noFill/>
              </a:ln>
              <a:solidFill>
                <a:schemeClr val="tx1"/>
              </a:solidFill>
            </a:rPr>
            <a:t>Magem Bruta</a:t>
          </a:r>
        </a:p>
      </xdr:txBody>
    </xdr:sp>
    <xdr:clientData/>
  </xdr:twoCellAnchor>
  <xdr:twoCellAnchor>
    <xdr:from>
      <xdr:col>10</xdr:col>
      <xdr:colOff>381001</xdr:colOff>
      <xdr:row>23</xdr:row>
      <xdr:rowOff>131657</xdr:rowOff>
    </xdr:from>
    <xdr:to>
      <xdr:col>19</xdr:col>
      <xdr:colOff>412751</xdr:colOff>
      <xdr:row>37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076E71C-306E-4A92-862D-E7D00E33D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500379</xdr:colOff>
      <xdr:row>0</xdr:row>
      <xdr:rowOff>104562</xdr:rowOff>
    </xdr:from>
    <xdr:to>
      <xdr:col>16</xdr:col>
      <xdr:colOff>244050</xdr:colOff>
      <xdr:row>5</xdr:row>
      <xdr:rowOff>165310</xdr:rowOff>
    </xdr:to>
    <xdr:sp macro="" textlink="'Indicadores Financeiros  '!$N$8">
      <xdr:nvSpPr>
        <xdr:cNvPr id="56" name="Retângulo: Cantos Arredondados 55">
          <a:extLst>
            <a:ext uri="{FF2B5EF4-FFF2-40B4-BE49-F238E27FC236}">
              <a16:creationId xmlns:a16="http://schemas.microsoft.com/office/drawing/2014/main" id="{074A852D-CF5D-4A8E-B5EF-D5028D3285A0}"/>
            </a:ext>
          </a:extLst>
        </xdr:cNvPr>
        <xdr:cNvSpPr/>
      </xdr:nvSpPr>
      <xdr:spPr>
        <a:xfrm>
          <a:off x="7390129" y="104562"/>
          <a:ext cx="2199004" cy="960331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914400" lvl="2" indent="0" algn="ctr"/>
          <a:fld id="{40709952-3A6D-45B6-B11F-9BA7984AFF83}" type="TxLink">
            <a:rPr lang="en-US" sz="2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marL="914400" lvl="2" indent="0" algn="ctr"/>
            <a:t>74%</a:t>
          </a:fld>
          <a:endParaRPr lang="pt-PT" sz="2400" b="1" i="0" u="none" strike="noStrike">
            <a:solidFill>
              <a:schemeClr val="bg1"/>
            </a:solidFill>
            <a:latin typeface="Arial" panose="020B0604020202020204" pitchFamily="34" charset="0"/>
            <a:ea typeface="Calibri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532975</xdr:colOff>
      <xdr:row>0</xdr:row>
      <xdr:rowOff>105834</xdr:rowOff>
    </xdr:from>
    <xdr:to>
      <xdr:col>16</xdr:col>
      <xdr:colOff>398355</xdr:colOff>
      <xdr:row>2</xdr:row>
      <xdr:rowOff>61796</xdr:rowOff>
    </xdr:to>
    <xdr:sp macro="" textlink="">
      <xdr:nvSpPr>
        <xdr:cNvPr id="57" name="CaixaDeTexto 56">
          <a:extLst>
            <a:ext uri="{FF2B5EF4-FFF2-40B4-BE49-F238E27FC236}">
              <a16:creationId xmlns:a16="http://schemas.microsoft.com/office/drawing/2014/main" id="{60570224-1DAF-4439-94B3-D4BE9E9D3EBD}"/>
            </a:ext>
          </a:extLst>
        </xdr:cNvPr>
        <xdr:cNvSpPr txBox="1"/>
      </xdr:nvSpPr>
      <xdr:spPr>
        <a:xfrm>
          <a:off x="7422725" y="105834"/>
          <a:ext cx="2320713" cy="315795"/>
        </a:xfrm>
        <a:prstGeom prst="rect">
          <a:avLst/>
        </a:prstGeom>
        <a:noFill/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PT" sz="14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Conversão</a:t>
          </a:r>
          <a:r>
            <a:rPr lang="pt-PT" sz="16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</a:t>
          </a:r>
          <a:r>
            <a:rPr lang="pt-PT" sz="14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Caixa</a:t>
          </a:r>
        </a:p>
      </xdr:txBody>
    </xdr:sp>
    <xdr:clientData/>
  </xdr:twoCellAnchor>
  <xdr:twoCellAnchor>
    <xdr:from>
      <xdr:col>16</xdr:col>
      <xdr:colOff>381000</xdr:colOff>
      <xdr:row>0</xdr:row>
      <xdr:rowOff>161288</xdr:rowOff>
    </xdr:from>
    <xdr:to>
      <xdr:col>20</xdr:col>
      <xdr:colOff>550967</xdr:colOff>
      <xdr:row>6</xdr:row>
      <xdr:rowOff>36404</xdr:rowOff>
    </xdr:to>
    <xdr:sp macro="" textlink="'Indicadores Financeiros  '!$N$15">
      <xdr:nvSpPr>
        <xdr:cNvPr id="58" name="Retângulo: Cantos Arredondados 57">
          <a:extLst>
            <a:ext uri="{FF2B5EF4-FFF2-40B4-BE49-F238E27FC236}">
              <a16:creationId xmlns:a16="http://schemas.microsoft.com/office/drawing/2014/main" id="{FEDE3341-9767-4670-811B-23E08111095C}"/>
            </a:ext>
          </a:extLst>
        </xdr:cNvPr>
        <xdr:cNvSpPr/>
      </xdr:nvSpPr>
      <xdr:spPr>
        <a:xfrm>
          <a:off x="9726083" y="161288"/>
          <a:ext cx="2625301" cy="954616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914400" lvl="2" indent="0" algn="ctr"/>
          <a:fld id="{21D6300A-2F09-4E3C-B337-54864F5089E9}" type="TxLink">
            <a:rPr lang="en-US" sz="2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marL="914400" lvl="2" indent="0" algn="ctr"/>
            <a:t>322%</a:t>
          </a:fld>
          <a:endParaRPr lang="pt-PT" sz="2400" b="1" i="0" u="none" strike="noStrike">
            <a:solidFill>
              <a:schemeClr val="bg1"/>
            </a:solidFill>
            <a:latin typeface="Arial" panose="020B0604020202020204" pitchFamily="34" charset="0"/>
            <a:ea typeface="Calibri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359835</xdr:colOff>
      <xdr:row>0</xdr:row>
      <xdr:rowOff>135678</xdr:rowOff>
    </xdr:from>
    <xdr:to>
      <xdr:col>20</xdr:col>
      <xdr:colOff>476251</xdr:colOff>
      <xdr:row>2</xdr:row>
      <xdr:rowOff>116417</xdr:rowOff>
    </xdr:to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id="{1787225B-6960-4BA9-B26D-CCC8176446A4}"/>
            </a:ext>
          </a:extLst>
        </xdr:cNvPr>
        <xdr:cNvSpPr txBox="1"/>
      </xdr:nvSpPr>
      <xdr:spPr>
        <a:xfrm>
          <a:off x="9704918" y="135678"/>
          <a:ext cx="2571750" cy="340572"/>
        </a:xfrm>
        <a:prstGeom prst="rect">
          <a:avLst/>
        </a:prstGeom>
        <a:noFill/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4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Retorno sobre Investimento </a:t>
          </a:r>
          <a:r>
            <a:rPr lang="pt-PT" sz="9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(ROI) </a:t>
          </a:r>
          <a:endParaRPr lang="pt-PT" sz="14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59689</xdr:colOff>
      <xdr:row>0</xdr:row>
      <xdr:rowOff>134407</xdr:rowOff>
    </xdr:from>
    <xdr:to>
      <xdr:col>25</xdr:col>
      <xdr:colOff>42334</xdr:colOff>
      <xdr:row>6</xdr:row>
      <xdr:rowOff>19048</xdr:rowOff>
    </xdr:to>
    <xdr:sp macro="" textlink="'Indicadores Financeiros  '!$N$18">
      <xdr:nvSpPr>
        <xdr:cNvPr id="67" name="Retângulo: Cantos Arredondados 66">
          <a:extLst>
            <a:ext uri="{FF2B5EF4-FFF2-40B4-BE49-F238E27FC236}">
              <a16:creationId xmlns:a16="http://schemas.microsoft.com/office/drawing/2014/main" id="{9D3DC022-5AC7-4BB1-909E-FBAC85FB8D95}"/>
            </a:ext>
          </a:extLst>
        </xdr:cNvPr>
        <xdr:cNvSpPr/>
      </xdr:nvSpPr>
      <xdr:spPr>
        <a:xfrm>
          <a:off x="12473939" y="134407"/>
          <a:ext cx="2437978" cy="964141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914400" lvl="2" indent="0" algn="ctr"/>
          <a:fld id="{8245AA26-B1CE-4E19-9CD9-CEFB37892811}" type="TxLink">
            <a:rPr lang="en-US" sz="2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marL="914400" lvl="2" indent="0" algn="ctr"/>
            <a:t>125%</a:t>
          </a:fld>
          <a:endParaRPr lang="pt-PT" sz="2400" b="1" i="0" u="none" strike="noStrike">
            <a:solidFill>
              <a:schemeClr val="bg1"/>
            </a:solidFill>
            <a:latin typeface="Arial" panose="020B0604020202020204" pitchFamily="34" charset="0"/>
            <a:ea typeface="Calibri"/>
            <a:cs typeface="Arial" panose="020B0604020202020204" pitchFamily="34" charset="0"/>
          </a:endParaRPr>
        </a:p>
      </xdr:txBody>
    </xdr:sp>
    <xdr:clientData/>
  </xdr:twoCellAnchor>
  <xdr:twoCellAnchor>
    <xdr:from>
      <xdr:col>21</xdr:col>
      <xdr:colOff>84666</xdr:colOff>
      <xdr:row>0</xdr:row>
      <xdr:rowOff>133774</xdr:rowOff>
    </xdr:from>
    <xdr:to>
      <xdr:col>24</xdr:col>
      <xdr:colOff>529167</xdr:colOff>
      <xdr:row>2</xdr:row>
      <xdr:rowOff>95451</xdr:rowOff>
    </xdr:to>
    <xdr:sp macro="" textlink="">
      <xdr:nvSpPr>
        <xdr:cNvPr id="68" name="CaixaDeTexto 67">
          <a:extLst>
            <a:ext uri="{FF2B5EF4-FFF2-40B4-BE49-F238E27FC236}">
              <a16:creationId xmlns:a16="http://schemas.microsoft.com/office/drawing/2014/main" id="{3901636B-81E7-4FF0-8702-FDC600AD85DA}"/>
            </a:ext>
          </a:extLst>
        </xdr:cNvPr>
        <xdr:cNvSpPr txBox="1"/>
      </xdr:nvSpPr>
      <xdr:spPr>
        <a:xfrm>
          <a:off x="12498916" y="133774"/>
          <a:ext cx="2286001" cy="321510"/>
        </a:xfrm>
        <a:prstGeom prst="rect">
          <a:avLst/>
        </a:prstGeom>
        <a:noFill/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4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Alavancagem</a:t>
          </a:r>
          <a:r>
            <a:rPr lang="pt-PT" sz="16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pt-PT" sz="14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Financeira</a:t>
          </a:r>
          <a:r>
            <a:rPr lang="pt-PT" sz="16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pt-PT" sz="16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179917</xdr:colOff>
      <xdr:row>0</xdr:row>
      <xdr:rowOff>139441</xdr:rowOff>
    </xdr:from>
    <xdr:to>
      <xdr:col>29</xdr:col>
      <xdr:colOff>124903</xdr:colOff>
      <xdr:row>6</xdr:row>
      <xdr:rowOff>18367</xdr:rowOff>
    </xdr:to>
    <xdr:sp macro="" textlink="'Indicadores Financeiros  '!$N$21">
      <xdr:nvSpPr>
        <xdr:cNvPr id="69" name="Retângulo: Cantos Arredondados 68">
          <a:extLst>
            <a:ext uri="{FF2B5EF4-FFF2-40B4-BE49-F238E27FC236}">
              <a16:creationId xmlns:a16="http://schemas.microsoft.com/office/drawing/2014/main" id="{CB339A7A-E7D0-42FB-899D-0714560DFB13}"/>
            </a:ext>
          </a:extLst>
        </xdr:cNvPr>
        <xdr:cNvSpPr/>
      </xdr:nvSpPr>
      <xdr:spPr>
        <a:xfrm>
          <a:off x="15049500" y="139441"/>
          <a:ext cx="2400320" cy="958426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914400" lvl="2" indent="0" algn="ctr"/>
          <a:fld id="{0FC6AC75-3B95-4424-988F-FFE2BFB63C75}" type="TxLink">
            <a:rPr lang="en-US" sz="2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marL="914400" lvl="2" indent="0" algn="ctr"/>
            <a:t>65%</a:t>
          </a:fld>
          <a:endParaRPr lang="pt-PT" sz="2400" b="1" i="0" u="none" strike="noStrike">
            <a:solidFill>
              <a:schemeClr val="bg1"/>
            </a:solidFill>
            <a:latin typeface="Arial" panose="020B0604020202020204" pitchFamily="34" charset="0"/>
            <a:ea typeface="Calibri"/>
            <a:cs typeface="Arial" panose="020B0604020202020204" pitchFamily="34" charset="0"/>
          </a:endParaRPr>
        </a:p>
      </xdr:txBody>
    </xdr:sp>
    <xdr:clientData/>
  </xdr:twoCellAnchor>
  <xdr:twoCellAnchor>
    <xdr:from>
      <xdr:col>25</xdr:col>
      <xdr:colOff>353293</xdr:colOff>
      <xdr:row>0</xdr:row>
      <xdr:rowOff>91606</xdr:rowOff>
    </xdr:from>
    <xdr:to>
      <xdr:col>29</xdr:col>
      <xdr:colOff>222250</xdr:colOff>
      <xdr:row>1</xdr:row>
      <xdr:rowOff>169333</xdr:rowOff>
    </xdr:to>
    <xdr:sp macro="" textlink="">
      <xdr:nvSpPr>
        <xdr:cNvPr id="91" name="CaixaDeTexto 90">
          <a:extLst>
            <a:ext uri="{FF2B5EF4-FFF2-40B4-BE49-F238E27FC236}">
              <a16:creationId xmlns:a16="http://schemas.microsoft.com/office/drawing/2014/main" id="{75E23406-5A4B-4D33-BFCC-85100C87FF15}"/>
            </a:ext>
          </a:extLst>
        </xdr:cNvPr>
        <xdr:cNvSpPr txBox="1"/>
      </xdr:nvSpPr>
      <xdr:spPr>
        <a:xfrm>
          <a:off x="15222876" y="91606"/>
          <a:ext cx="2324291" cy="257644"/>
        </a:xfrm>
        <a:prstGeom prst="rect">
          <a:avLst/>
        </a:prstGeom>
        <a:noFill/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4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Custo</a:t>
          </a:r>
          <a:r>
            <a:rPr lang="pt-PT" sz="16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pt-PT" sz="14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sobre</a:t>
          </a:r>
          <a:r>
            <a:rPr lang="pt-PT" sz="16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pt-PT" sz="14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Receita</a:t>
          </a:r>
          <a:r>
            <a:rPr lang="pt-PT" sz="1600" b="1">
              <a:ln>
                <a:noFill/>
              </a:ln>
              <a:solidFill>
                <a:schemeClr val="accent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pt-PT" sz="16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16</xdr:col>
      <xdr:colOff>420370</xdr:colOff>
      <xdr:row>3</xdr:row>
      <xdr:rowOff>52429</xdr:rowOff>
    </xdr:from>
    <xdr:to>
      <xdr:col>17</xdr:col>
      <xdr:colOff>456141</xdr:colOff>
      <xdr:row>5</xdr:row>
      <xdr:rowOff>136102</xdr:rowOff>
    </xdr:to>
    <xdr:pic>
      <xdr:nvPicPr>
        <xdr:cNvPr id="4" name="Gráfico 3" descr="Na mosca com preenchimento sólido">
          <a:extLst>
            <a:ext uri="{FF2B5EF4-FFF2-40B4-BE49-F238E27FC236}">
              <a16:creationId xmlns:a16="http://schemas.microsoft.com/office/drawing/2014/main" id="{01831F93-A45E-4977-A8D7-A74F25F67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765453" y="592179"/>
          <a:ext cx="649605" cy="443506"/>
        </a:xfrm>
        <a:prstGeom prst="rect">
          <a:avLst/>
        </a:prstGeom>
      </xdr:spPr>
    </xdr:pic>
    <xdr:clientData/>
  </xdr:twoCellAnchor>
  <xdr:twoCellAnchor editAs="oneCell">
    <xdr:from>
      <xdr:col>1</xdr:col>
      <xdr:colOff>229799</xdr:colOff>
      <xdr:row>3</xdr:row>
      <xdr:rowOff>48523</xdr:rowOff>
    </xdr:from>
    <xdr:to>
      <xdr:col>2</xdr:col>
      <xdr:colOff>496358</xdr:colOff>
      <xdr:row>5</xdr:row>
      <xdr:rowOff>132291</xdr:rowOff>
    </xdr:to>
    <xdr:pic>
      <xdr:nvPicPr>
        <xdr:cNvPr id="6" name="Gráfico 5" descr="Banco de dados com preenchimento sólido">
          <a:extLst>
            <a:ext uri="{FF2B5EF4-FFF2-40B4-BE49-F238E27FC236}">
              <a16:creationId xmlns:a16="http://schemas.microsoft.com/office/drawing/2014/main" id="{CAF8619C-E05F-4E02-8C33-2EBB9AE35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67382" y="588273"/>
          <a:ext cx="880393" cy="443601"/>
        </a:xfrm>
        <a:prstGeom prst="rect">
          <a:avLst/>
        </a:prstGeom>
      </xdr:spPr>
    </xdr:pic>
    <xdr:clientData/>
  </xdr:twoCellAnchor>
  <xdr:twoCellAnchor editAs="oneCell">
    <xdr:from>
      <xdr:col>20</xdr:col>
      <xdr:colOff>610726</xdr:colOff>
      <xdr:row>3</xdr:row>
      <xdr:rowOff>49036</xdr:rowOff>
    </xdr:from>
    <xdr:to>
      <xdr:col>22</xdr:col>
      <xdr:colOff>187537</xdr:colOff>
      <xdr:row>5</xdr:row>
      <xdr:rowOff>98880</xdr:rowOff>
    </xdr:to>
    <xdr:pic>
      <xdr:nvPicPr>
        <xdr:cNvPr id="8" name="Gráfico 7" descr="Estatísticas com preenchimento sólido">
          <a:extLst>
            <a:ext uri="{FF2B5EF4-FFF2-40B4-BE49-F238E27FC236}">
              <a16:creationId xmlns:a16="http://schemas.microsoft.com/office/drawing/2014/main" id="{011F4077-67DF-4722-B407-C9C2B8489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411143" y="588786"/>
          <a:ext cx="804477" cy="409677"/>
        </a:xfrm>
        <a:prstGeom prst="rect">
          <a:avLst/>
        </a:prstGeom>
      </xdr:spPr>
    </xdr:pic>
    <xdr:clientData/>
  </xdr:twoCellAnchor>
  <xdr:twoCellAnchor editAs="oneCell">
    <xdr:from>
      <xdr:col>5</xdr:col>
      <xdr:colOff>79795</xdr:colOff>
      <xdr:row>3</xdr:row>
      <xdr:rowOff>40085</xdr:rowOff>
    </xdr:from>
    <xdr:to>
      <xdr:col>6</xdr:col>
      <xdr:colOff>231988</xdr:colOff>
      <xdr:row>5</xdr:row>
      <xdr:rowOff>149646</xdr:rowOff>
    </xdr:to>
    <xdr:pic>
      <xdr:nvPicPr>
        <xdr:cNvPr id="10" name="Gráfico 9" descr="Tendência ascendente com preenchimento sólido">
          <a:extLst>
            <a:ext uri="{FF2B5EF4-FFF2-40B4-BE49-F238E27FC236}">
              <a16:creationId xmlns:a16="http://schemas.microsoft.com/office/drawing/2014/main" id="{22570CC4-ABC8-4088-A5CD-F959EDD52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672712" y="579835"/>
          <a:ext cx="766026" cy="469394"/>
        </a:xfrm>
        <a:prstGeom prst="rect">
          <a:avLst/>
        </a:prstGeom>
      </xdr:spPr>
    </xdr:pic>
    <xdr:clientData/>
  </xdr:twoCellAnchor>
  <xdr:twoCellAnchor editAs="oneCell">
    <xdr:from>
      <xdr:col>8</xdr:col>
      <xdr:colOff>549975</xdr:colOff>
      <xdr:row>3</xdr:row>
      <xdr:rowOff>55185</xdr:rowOff>
    </xdr:from>
    <xdr:to>
      <xdr:col>10</xdr:col>
      <xdr:colOff>151977</xdr:colOff>
      <xdr:row>5</xdr:row>
      <xdr:rowOff>98001</xdr:rowOff>
    </xdr:to>
    <xdr:pic>
      <xdr:nvPicPr>
        <xdr:cNvPr id="15" name="Gráfico 14" descr="Sala de reuniões com preenchimento sólido">
          <a:extLst>
            <a:ext uri="{FF2B5EF4-FFF2-40B4-BE49-F238E27FC236}">
              <a16:creationId xmlns:a16="http://schemas.microsoft.com/office/drawing/2014/main" id="{C54D3153-DF2A-46F4-BEAF-DA24BF5CE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984392" y="594935"/>
          <a:ext cx="829668" cy="402649"/>
        </a:xfrm>
        <a:prstGeom prst="rect">
          <a:avLst/>
        </a:prstGeom>
      </xdr:spPr>
    </xdr:pic>
    <xdr:clientData/>
  </xdr:twoCellAnchor>
  <xdr:twoCellAnchor editAs="oneCell">
    <xdr:from>
      <xdr:col>12</xdr:col>
      <xdr:colOff>496775</xdr:colOff>
      <xdr:row>3</xdr:row>
      <xdr:rowOff>74083</xdr:rowOff>
    </xdr:from>
    <xdr:to>
      <xdr:col>14</xdr:col>
      <xdr:colOff>113665</xdr:colOff>
      <xdr:row>5</xdr:row>
      <xdr:rowOff>57573</xdr:rowOff>
    </xdr:to>
    <xdr:pic>
      <xdr:nvPicPr>
        <xdr:cNvPr id="17" name="Gráfico 16" descr="Crescimento Comercial com preenchimento sólido">
          <a:extLst>
            <a:ext uri="{FF2B5EF4-FFF2-40B4-BE49-F238E27FC236}">
              <a16:creationId xmlns:a16="http://schemas.microsoft.com/office/drawing/2014/main" id="{E03F00DA-A25C-4846-91B1-DCF3C828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7386525" y="613833"/>
          <a:ext cx="844557" cy="343323"/>
        </a:xfrm>
        <a:prstGeom prst="rect">
          <a:avLst/>
        </a:prstGeom>
      </xdr:spPr>
    </xdr:pic>
    <xdr:clientData/>
  </xdr:twoCellAnchor>
  <xdr:twoCellAnchor editAs="oneCell">
    <xdr:from>
      <xdr:col>25</xdr:col>
      <xdr:colOff>116416</xdr:colOff>
      <xdr:row>3</xdr:row>
      <xdr:rowOff>52533</xdr:rowOff>
    </xdr:from>
    <xdr:to>
      <xdr:col>26</xdr:col>
      <xdr:colOff>422697</xdr:colOff>
      <xdr:row>5</xdr:row>
      <xdr:rowOff>92711</xdr:rowOff>
    </xdr:to>
    <xdr:pic>
      <xdr:nvPicPr>
        <xdr:cNvPr id="76" name="Gráfico 75" descr="Gráfico de tendência descendente com preenchimento sólido">
          <a:extLst>
            <a:ext uri="{FF2B5EF4-FFF2-40B4-BE49-F238E27FC236}">
              <a16:creationId xmlns:a16="http://schemas.microsoft.com/office/drawing/2014/main" id="{78D684F9-D119-4A91-97FD-4149FCAF5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4985999" y="592283"/>
          <a:ext cx="920115" cy="4000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5C244-2305-4F8F-8C8F-A26E1730BB79}">
  <dimension ref="B1:Q49"/>
  <sheetViews>
    <sheetView showGridLines="0" tabSelected="1" zoomScale="90" zoomScaleNormal="90" workbookViewId="0">
      <selection activeCell="C15" sqref="C15"/>
    </sheetView>
  </sheetViews>
  <sheetFormatPr defaultRowHeight="14.4" x14ac:dyDescent="0.3"/>
  <cols>
    <col min="2" max="2" width="32.21875" bestFit="1" customWidth="1"/>
    <col min="3" max="3" width="24.33203125" bestFit="1" customWidth="1"/>
    <col min="4" max="5" width="14.6640625" bestFit="1" customWidth="1"/>
    <col min="6" max="6" width="14.6640625" customWidth="1"/>
    <col min="7" max="14" width="14.6640625" bestFit="1" customWidth="1"/>
    <col min="15" max="15" width="15.44140625" bestFit="1" customWidth="1"/>
  </cols>
  <sheetData>
    <row r="1" spans="2:16" ht="18.600000000000001" x14ac:dyDescent="0.45">
      <c r="B1" s="32" t="s">
        <v>4</v>
      </c>
      <c r="C1" s="32"/>
      <c r="D1" s="32"/>
    </row>
    <row r="2" spans="2:16" ht="17.399999999999999" x14ac:dyDescent="0.45">
      <c r="B2" s="11"/>
      <c r="C2" t="s">
        <v>42</v>
      </c>
      <c r="D2" s="12"/>
    </row>
    <row r="3" spans="2:16" ht="17.399999999999999" x14ac:dyDescent="0.45">
      <c r="B3" s="11"/>
      <c r="C3" s="12" t="s">
        <v>33</v>
      </c>
      <c r="D3" s="13">
        <v>0.08</v>
      </c>
      <c r="E3" s="13">
        <v>0.08</v>
      </c>
      <c r="F3" s="13">
        <v>0.08</v>
      </c>
      <c r="G3" s="13">
        <v>0.08</v>
      </c>
      <c r="H3" s="13">
        <v>0.08</v>
      </c>
      <c r="I3" s="13">
        <v>0.08</v>
      </c>
      <c r="J3" s="13">
        <v>0.08</v>
      </c>
      <c r="K3" s="13">
        <v>0.08</v>
      </c>
      <c r="L3" s="13">
        <v>0.08</v>
      </c>
      <c r="M3" s="13">
        <v>0.08</v>
      </c>
      <c r="N3" s="13">
        <v>0.08</v>
      </c>
    </row>
    <row r="4" spans="2:16" ht="17.399999999999999" x14ac:dyDescent="0.45">
      <c r="B4" s="11"/>
      <c r="C4" s="12" t="s">
        <v>34</v>
      </c>
      <c r="D4" s="15">
        <v>2.1000000000000001E-2</v>
      </c>
      <c r="E4" s="15">
        <v>2.1000000000000001E-2</v>
      </c>
      <c r="F4" s="15">
        <v>2.1000000000000001E-2</v>
      </c>
      <c r="G4" s="15">
        <v>2.1000000000000001E-2</v>
      </c>
      <c r="H4" s="15">
        <v>2.1000000000000001E-2</v>
      </c>
      <c r="I4" s="15">
        <v>2.1000000000000001E-2</v>
      </c>
      <c r="J4" s="15">
        <v>2.1000000000000001E-2</v>
      </c>
      <c r="K4" s="15">
        <v>2.1000000000000001E-2</v>
      </c>
      <c r="L4" s="15">
        <v>2.1000000000000001E-2</v>
      </c>
      <c r="M4" s="15">
        <v>2.1000000000000001E-2</v>
      </c>
      <c r="N4" s="15">
        <v>2.1000000000000001E-2</v>
      </c>
    </row>
    <row r="5" spans="2:16" ht="17.399999999999999" x14ac:dyDescent="0.45">
      <c r="B5" s="11"/>
      <c r="C5" s="12" t="s">
        <v>35</v>
      </c>
      <c r="D5" s="14">
        <v>1.4999999999999999E-2</v>
      </c>
      <c r="E5" s="14">
        <v>1.4999999999999999E-2</v>
      </c>
      <c r="F5" s="14">
        <v>1.4999999999999999E-2</v>
      </c>
      <c r="G5" s="14">
        <v>1.4999999999999999E-2</v>
      </c>
      <c r="H5" s="14">
        <v>1.4999999999999999E-2</v>
      </c>
      <c r="I5" s="14">
        <v>1.4999999999999999E-2</v>
      </c>
      <c r="J5" s="14">
        <v>1.4999999999999999E-2</v>
      </c>
      <c r="K5" s="14">
        <v>1.4999999999999999E-2</v>
      </c>
      <c r="L5" s="14">
        <v>1.4999999999999999E-2</v>
      </c>
      <c r="M5" s="14">
        <v>1.4999999999999999E-2</v>
      </c>
      <c r="N5" s="14">
        <v>1.4999999999999999E-2</v>
      </c>
    </row>
    <row r="6" spans="2:16" x14ac:dyDescent="0.3">
      <c r="C6" s="12" t="s">
        <v>45</v>
      </c>
      <c r="D6" s="17">
        <v>0.06</v>
      </c>
      <c r="E6" s="17">
        <v>0.06</v>
      </c>
      <c r="F6" s="17">
        <v>0.06</v>
      </c>
      <c r="G6" s="17">
        <v>0.06</v>
      </c>
      <c r="H6" s="17">
        <v>0.06</v>
      </c>
      <c r="I6" s="17">
        <v>0.06</v>
      </c>
      <c r="J6" s="17">
        <v>0.06</v>
      </c>
      <c r="K6" s="17">
        <v>0.06</v>
      </c>
      <c r="L6" s="17">
        <v>0.06</v>
      </c>
      <c r="M6" s="17">
        <v>0.06</v>
      </c>
      <c r="N6" s="17">
        <v>0.06</v>
      </c>
    </row>
    <row r="7" spans="2:16" x14ac:dyDescent="0.3">
      <c r="C7" s="26" t="s">
        <v>63</v>
      </c>
      <c r="D7" s="25" t="s">
        <v>64</v>
      </c>
      <c r="E7" s="25" t="s">
        <v>64</v>
      </c>
      <c r="F7" s="25" t="s">
        <v>64</v>
      </c>
      <c r="G7" s="25" t="s">
        <v>64</v>
      </c>
      <c r="H7" s="25" t="s">
        <v>64</v>
      </c>
      <c r="I7" s="25" t="s">
        <v>64</v>
      </c>
      <c r="J7" s="25" t="s">
        <v>64</v>
      </c>
      <c r="K7" s="25" t="s">
        <v>64</v>
      </c>
      <c r="L7" s="25" t="s">
        <v>64</v>
      </c>
      <c r="M7" s="25" t="s">
        <v>64</v>
      </c>
      <c r="N7" s="25" t="s">
        <v>64</v>
      </c>
    </row>
    <row r="8" spans="2:16" x14ac:dyDescent="0.3"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  <c r="L8" t="s">
        <v>18</v>
      </c>
      <c r="M8" t="s">
        <v>19</v>
      </c>
      <c r="N8" t="s">
        <v>20</v>
      </c>
      <c r="O8" t="s">
        <v>39</v>
      </c>
    </row>
    <row r="9" spans="2:16" x14ac:dyDescent="0.3">
      <c r="B9" s="4" t="s">
        <v>1</v>
      </c>
      <c r="C9" s="5">
        <f>SUM(C10:C12)</f>
        <v>84000</v>
      </c>
      <c r="D9" s="5">
        <f t="shared" ref="D9:N9" si="0">SUM(D10:D12)</f>
        <v>90720</v>
      </c>
      <c r="E9" s="5">
        <f t="shared" si="0"/>
        <v>97977.600000000006</v>
      </c>
      <c r="F9" s="5">
        <f t="shared" si="0"/>
        <v>105815.80800000002</v>
      </c>
      <c r="G9" s="5">
        <f t="shared" si="0"/>
        <v>114281.07264000004</v>
      </c>
      <c r="H9" s="5">
        <f t="shared" si="0"/>
        <v>123423.55845120005</v>
      </c>
      <c r="I9" s="5">
        <f t="shared" si="0"/>
        <v>133297.44312729605</v>
      </c>
      <c r="J9" s="5">
        <f t="shared" si="0"/>
        <v>143961.23857747973</v>
      </c>
      <c r="K9" s="5">
        <f t="shared" si="0"/>
        <v>155478.13766367812</v>
      </c>
      <c r="L9" s="5">
        <f t="shared" si="0"/>
        <v>167916.38867677239</v>
      </c>
      <c r="M9" s="5">
        <f t="shared" si="0"/>
        <v>181349.69977091416</v>
      </c>
      <c r="N9" s="5">
        <f t="shared" si="0"/>
        <v>195857.67575258733</v>
      </c>
      <c r="O9" s="5">
        <f>SUM(C9:N9)</f>
        <v>1594078.6226599279</v>
      </c>
    </row>
    <row r="10" spans="2:16" x14ac:dyDescent="0.3">
      <c r="B10" t="s">
        <v>21</v>
      </c>
      <c r="C10" s="1">
        <v>56000</v>
      </c>
      <c r="D10" s="1">
        <f>C10*(1+D3)</f>
        <v>60480.000000000007</v>
      </c>
      <c r="E10" s="1">
        <f t="shared" ref="E10:N10" si="1">D10*(1+E3)</f>
        <v>65318.400000000009</v>
      </c>
      <c r="F10" s="1">
        <f t="shared" si="1"/>
        <v>70543.872000000018</v>
      </c>
      <c r="G10" s="1">
        <f t="shared" si="1"/>
        <v>76187.381760000018</v>
      </c>
      <c r="H10" s="1">
        <f t="shared" si="1"/>
        <v>82282.372300800023</v>
      </c>
      <c r="I10" s="1">
        <f t="shared" si="1"/>
        <v>88864.962084864033</v>
      </c>
      <c r="J10" s="1">
        <f t="shared" si="1"/>
        <v>95974.159051653158</v>
      </c>
      <c r="K10" s="1">
        <f t="shared" si="1"/>
        <v>103652.09177578542</v>
      </c>
      <c r="L10" s="1">
        <f t="shared" si="1"/>
        <v>111944.25911784825</v>
      </c>
      <c r="M10" s="1">
        <f t="shared" si="1"/>
        <v>120899.79984727612</v>
      </c>
      <c r="N10" s="1">
        <f t="shared" si="1"/>
        <v>130571.78383505822</v>
      </c>
      <c r="O10" s="22">
        <f t="shared" ref="O10:O41" si="2">SUM(C10:N10)</f>
        <v>1062719.0817732853</v>
      </c>
    </row>
    <row r="11" spans="2:16" x14ac:dyDescent="0.3">
      <c r="B11" t="s">
        <v>22</v>
      </c>
      <c r="C11" s="1">
        <v>25000</v>
      </c>
      <c r="D11" s="1">
        <f>C11*(1+D3)</f>
        <v>27000</v>
      </c>
      <c r="E11" s="1">
        <f t="shared" ref="E11:N11" si="3">D11*(1+E3)</f>
        <v>29160.000000000004</v>
      </c>
      <c r="F11" s="1">
        <f t="shared" si="3"/>
        <v>31492.800000000007</v>
      </c>
      <c r="G11" s="1">
        <f t="shared" si="3"/>
        <v>34012.224000000009</v>
      </c>
      <c r="H11" s="1">
        <f t="shared" si="3"/>
        <v>36733.201920000014</v>
      </c>
      <c r="I11" s="1">
        <f t="shared" si="3"/>
        <v>39671.858073600015</v>
      </c>
      <c r="J11" s="1">
        <f t="shared" si="3"/>
        <v>42845.606719488016</v>
      </c>
      <c r="K11" s="1">
        <f t="shared" si="3"/>
        <v>46273.255257047058</v>
      </c>
      <c r="L11" s="1">
        <f t="shared" si="3"/>
        <v>49975.115677610826</v>
      </c>
      <c r="M11" s="1">
        <f t="shared" si="3"/>
        <v>53973.124931819693</v>
      </c>
      <c r="N11" s="1">
        <f t="shared" si="3"/>
        <v>58290.97492636527</v>
      </c>
      <c r="O11" s="22">
        <f t="shared" si="2"/>
        <v>474428.16150593082</v>
      </c>
    </row>
    <row r="12" spans="2:16" x14ac:dyDescent="0.3">
      <c r="B12" t="s">
        <v>23</v>
      </c>
      <c r="C12" s="1">
        <v>3000</v>
      </c>
      <c r="D12" s="1">
        <f>C12*(1+D3)</f>
        <v>3240</v>
      </c>
      <c r="E12" s="1">
        <f t="shared" ref="E12:N12" si="4">D12*(1+E3)</f>
        <v>3499.2000000000003</v>
      </c>
      <c r="F12" s="1">
        <f t="shared" si="4"/>
        <v>3779.1360000000004</v>
      </c>
      <c r="G12" s="1">
        <f t="shared" si="4"/>
        <v>4081.4668800000009</v>
      </c>
      <c r="H12" s="1">
        <f t="shared" si="4"/>
        <v>4407.9842304000013</v>
      </c>
      <c r="I12" s="1">
        <f t="shared" si="4"/>
        <v>4760.6229688320018</v>
      </c>
      <c r="J12" s="1">
        <f t="shared" si="4"/>
        <v>5141.4728063385619</v>
      </c>
      <c r="K12" s="1">
        <f t="shared" si="4"/>
        <v>5552.7906308456468</v>
      </c>
      <c r="L12" s="1">
        <f t="shared" si="4"/>
        <v>5997.013881313299</v>
      </c>
      <c r="M12" s="1">
        <f t="shared" si="4"/>
        <v>6476.7749918183636</v>
      </c>
      <c r="N12" s="1">
        <f t="shared" si="4"/>
        <v>6994.9169911638328</v>
      </c>
      <c r="O12" s="22">
        <f t="shared" si="2"/>
        <v>56931.379380711711</v>
      </c>
    </row>
    <row r="13" spans="2:16" x14ac:dyDescent="0.3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/>
    </row>
    <row r="14" spans="2:16" x14ac:dyDescent="0.3">
      <c r="B14" s="4" t="s">
        <v>2</v>
      </c>
      <c r="C14" s="5">
        <f>C15+C19+C25+C29</f>
        <v>57200</v>
      </c>
      <c r="D14" s="5">
        <f t="shared" ref="D14:O14" si="5">D15+D19+D25+D29</f>
        <v>60718.077999999994</v>
      </c>
      <c r="E14" s="5">
        <f t="shared" si="5"/>
        <v>65219.16581733249</v>
      </c>
      <c r="F14" s="5">
        <f t="shared" si="5"/>
        <v>70071.20257184979</v>
      </c>
      <c r="G14" s="5">
        <f t="shared" si="5"/>
        <v>75302.245169220478</v>
      </c>
      <c r="H14" s="5">
        <f t="shared" si="5"/>
        <v>80942.620111492317</v>
      </c>
      <c r="I14" s="5">
        <f t="shared" si="5"/>
        <v>87025.108091171933</v>
      </c>
      <c r="J14" s="5">
        <f t="shared" si="5"/>
        <v>93585.143636869732</v>
      </c>
      <c r="K14" s="5">
        <f t="shared" si="5"/>
        <v>100661.03103927444</v>
      </c>
      <c r="L14" s="5">
        <f t="shared" si="5"/>
        <v>108294.17788659615</v>
      </c>
      <c r="M14" s="5">
        <f t="shared" si="5"/>
        <v>116529.34764719277</v>
      </c>
      <c r="N14" s="5">
        <f t="shared" si="5"/>
        <v>125414.93285454449</v>
      </c>
      <c r="O14" s="5">
        <f t="shared" si="5"/>
        <v>1040963.0528255445</v>
      </c>
    </row>
    <row r="15" spans="2:16" s="6" customFormat="1" x14ac:dyDescent="0.3">
      <c r="B15" s="7" t="s">
        <v>44</v>
      </c>
      <c r="C15" s="8">
        <f>SUM(C16:C17)</f>
        <v>19000</v>
      </c>
      <c r="D15" s="19">
        <f t="shared" ref="D15:N15" si="6">SUM(D16:D17)</f>
        <v>20562.939999999999</v>
      </c>
      <c r="E15" s="19">
        <f t="shared" si="6"/>
        <v>22254.447444400001</v>
      </c>
      <c r="F15" s="19">
        <f t="shared" si="6"/>
        <v>24085.098291176342</v>
      </c>
      <c r="G15" s="19">
        <f t="shared" si="6"/>
        <v>26066.338476608507</v>
      </c>
      <c r="H15" s="19">
        <f t="shared" si="6"/>
        <v>28210.555479694325</v>
      </c>
      <c r="I15" s="19">
        <f t="shared" si="6"/>
        <v>30531.155773453975</v>
      </c>
      <c r="J15" s="19">
        <f t="shared" si="6"/>
        <v>33042.648647378301</v>
      </c>
      <c r="K15" s="19">
        <f t="shared" si="6"/>
        <v>35760.736925111632</v>
      </c>
      <c r="L15" s="19">
        <f t="shared" si="6"/>
        <v>38702.415144571314</v>
      </c>
      <c r="M15" s="19">
        <f t="shared" si="6"/>
        <v>41886.07581436375</v>
      </c>
      <c r="N15" s="19">
        <f t="shared" si="6"/>
        <v>45331.624410853314</v>
      </c>
      <c r="O15" s="19">
        <f t="shared" si="2"/>
        <v>365434.03640761151</v>
      </c>
    </row>
    <row r="16" spans="2:16" x14ac:dyDescent="0.3">
      <c r="B16" t="s">
        <v>24</v>
      </c>
      <c r="C16" s="1">
        <v>13000</v>
      </c>
      <c r="D16" s="18">
        <f>C16*(1+D4)*(1+D6)</f>
        <v>14069.38</v>
      </c>
      <c r="E16" s="18">
        <f t="shared" ref="E16:N16" si="7">D16*(1+E4)*(1+E6)</f>
        <v>15226.727198799999</v>
      </c>
      <c r="F16" s="18">
        <f t="shared" si="7"/>
        <v>16479.277778173288</v>
      </c>
      <c r="G16" s="18">
        <f t="shared" si="7"/>
        <v>17834.863168205822</v>
      </c>
      <c r="H16" s="18">
        <f t="shared" si="7"/>
        <v>19301.959012422434</v>
      </c>
      <c r="I16" s="18">
        <f t="shared" si="7"/>
        <v>20889.738160784302</v>
      </c>
      <c r="J16" s="18">
        <f t="shared" si="7"/>
        <v>22608.128021890418</v>
      </c>
      <c r="K16" s="18">
        <f t="shared" si="7"/>
        <v>24467.872632971121</v>
      </c>
      <c r="L16" s="18">
        <f t="shared" si="7"/>
        <v>26480.599835759323</v>
      </c>
      <c r="M16" s="18">
        <f t="shared" si="7"/>
        <v>28658.893978248885</v>
      </c>
      <c r="N16" s="18">
        <f t="shared" si="7"/>
        <v>31016.374596899637</v>
      </c>
      <c r="O16" s="22">
        <f t="shared" si="2"/>
        <v>250033.81438415521</v>
      </c>
      <c r="P16" s="16"/>
    </row>
    <row r="17" spans="2:17" x14ac:dyDescent="0.3">
      <c r="B17" t="s">
        <v>25</v>
      </c>
      <c r="C17" s="1">
        <v>6000</v>
      </c>
      <c r="D17" s="18">
        <f t="shared" ref="D17:N17" si="8">C17*(1+D4)*(1+D6)</f>
        <v>6493.5599999999995</v>
      </c>
      <c r="E17" s="18">
        <f t="shared" si="8"/>
        <v>7027.7202455999995</v>
      </c>
      <c r="F17" s="18">
        <f t="shared" si="8"/>
        <v>7605.8205130030547</v>
      </c>
      <c r="G17" s="18">
        <f t="shared" si="8"/>
        <v>8231.4753084026852</v>
      </c>
      <c r="H17" s="18">
        <f t="shared" si="8"/>
        <v>8908.5964672718892</v>
      </c>
      <c r="I17" s="18">
        <f t="shared" si="8"/>
        <v>9641.4176126696748</v>
      </c>
      <c r="J17" s="18">
        <f t="shared" si="8"/>
        <v>10434.520625487881</v>
      </c>
      <c r="K17" s="18">
        <f t="shared" si="8"/>
        <v>11292.864292140513</v>
      </c>
      <c r="L17" s="18">
        <f t="shared" si="8"/>
        <v>12221.815308811993</v>
      </c>
      <c r="M17" s="18">
        <f t="shared" si="8"/>
        <v>13227.181836114865</v>
      </c>
      <c r="N17" s="18">
        <f t="shared" si="8"/>
        <v>14315.249813953673</v>
      </c>
      <c r="O17" s="22">
        <f t="shared" si="2"/>
        <v>115400.22202345623</v>
      </c>
    </row>
    <row r="18" spans="2:17" x14ac:dyDescent="0.3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/>
    </row>
    <row r="19" spans="2:17" x14ac:dyDescent="0.3">
      <c r="B19" s="7" t="s">
        <v>3</v>
      </c>
      <c r="C19" s="8">
        <f>SUM(C20:C24)</f>
        <v>15500</v>
      </c>
      <c r="D19" s="8">
        <f t="shared" ref="D19:N19" si="9">SUM(D20:D24)</f>
        <v>16062.882499999998</v>
      </c>
      <c r="E19" s="8">
        <f t="shared" si="9"/>
        <v>17384.215214449996</v>
      </c>
      <c r="F19" s="8">
        <f t="shared" si="9"/>
        <v>18814.24075799065</v>
      </c>
      <c r="G19" s="8">
        <f t="shared" si="9"/>
        <v>20361.90020274296</v>
      </c>
      <c r="H19" s="8">
        <f t="shared" si="9"/>
        <v>22036.870113420591</v>
      </c>
      <c r="I19" s="8">
        <f t="shared" si="9"/>
        <v>23849.623048950569</v>
      </c>
      <c r="J19" s="8">
        <f t="shared" si="9"/>
        <v>25811.493040957241</v>
      </c>
      <c r="K19" s="8">
        <f t="shared" si="9"/>
        <v>27934.746458506379</v>
      </c>
      <c r="L19" s="8">
        <f t="shared" si="9"/>
        <v>30232.658702183115</v>
      </c>
      <c r="M19" s="8">
        <f t="shared" si="9"/>
        <v>32719.597207024701</v>
      </c>
      <c r="N19" s="8">
        <f t="shared" si="9"/>
        <v>35411.111273274553</v>
      </c>
      <c r="O19" s="8">
        <f t="shared" si="2"/>
        <v>286119.33851950068</v>
      </c>
    </row>
    <row r="20" spans="2:17" x14ac:dyDescent="0.3">
      <c r="B20" t="s">
        <v>0</v>
      </c>
      <c r="C20" s="1">
        <v>6000</v>
      </c>
      <c r="D20" s="1">
        <f>C20*(1+D4)*(1+D5)</f>
        <v>6217.8899999999985</v>
      </c>
      <c r="E20" s="1">
        <f t="shared" ref="E20:N20" si="10">D20*(1+E4)*(1+E6)</f>
        <v>6729.373631399998</v>
      </c>
      <c r="F20" s="1">
        <f t="shared" si="10"/>
        <v>7282.9319063189614</v>
      </c>
      <c r="G20" s="1">
        <f t="shared" si="10"/>
        <v>7882.0258849327583</v>
      </c>
      <c r="H20" s="1">
        <f t="shared" si="10"/>
        <v>8530.4013342273265</v>
      </c>
      <c r="I20" s="1">
        <f t="shared" si="10"/>
        <v>9232.1121479808644</v>
      </c>
      <c r="J20" s="1">
        <f t="shared" si="10"/>
        <v>9991.5456932737688</v>
      </c>
      <c r="K20" s="1">
        <f t="shared" si="10"/>
        <v>10813.450242002469</v>
      </c>
      <c r="L20" s="1">
        <f t="shared" si="10"/>
        <v>11702.964658909592</v>
      </c>
      <c r="M20" s="1">
        <f t="shared" si="10"/>
        <v>12665.650531751495</v>
      </c>
      <c r="N20" s="1">
        <f t="shared" si="10"/>
        <v>13707.526944493373</v>
      </c>
      <c r="O20" s="22">
        <f t="shared" si="2"/>
        <v>110755.87297529061</v>
      </c>
    </row>
    <row r="21" spans="2:17" x14ac:dyDescent="0.3">
      <c r="B21" t="s">
        <v>26</v>
      </c>
      <c r="C21" s="1">
        <v>2000</v>
      </c>
      <c r="D21" s="1">
        <f>C21*(1+D4)*(1+D5)</f>
        <v>2072.6299999999997</v>
      </c>
      <c r="E21" s="1">
        <f t="shared" ref="E21:N21" si="11">D21*(1+E4)*(1+E6)</f>
        <v>2243.1245437999996</v>
      </c>
      <c r="F21" s="1">
        <f t="shared" si="11"/>
        <v>2427.6439687729876</v>
      </c>
      <c r="G21" s="1">
        <f t="shared" si="11"/>
        <v>2627.3419616442534</v>
      </c>
      <c r="H21" s="1">
        <f t="shared" si="11"/>
        <v>2843.4671114091093</v>
      </c>
      <c r="I21" s="1">
        <f t="shared" si="11"/>
        <v>3077.3707159936225</v>
      </c>
      <c r="J21" s="1">
        <f t="shared" si="11"/>
        <v>3330.5152310912581</v>
      </c>
      <c r="K21" s="1">
        <f t="shared" si="11"/>
        <v>3604.4834140008252</v>
      </c>
      <c r="L21" s="1">
        <f t="shared" si="11"/>
        <v>3900.9882196365329</v>
      </c>
      <c r="M21" s="1">
        <f t="shared" si="11"/>
        <v>4221.8835105838343</v>
      </c>
      <c r="N21" s="1">
        <f t="shared" si="11"/>
        <v>4569.1756481644607</v>
      </c>
      <c r="O21" s="22">
        <f t="shared" si="2"/>
        <v>36918.624325096884</v>
      </c>
    </row>
    <row r="22" spans="2:17" x14ac:dyDescent="0.3">
      <c r="B22" t="s">
        <v>27</v>
      </c>
      <c r="C22" s="1">
        <v>3000</v>
      </c>
      <c r="D22" s="1">
        <f>C22*(1+D4)*(1+D5)</f>
        <v>3108.9449999999993</v>
      </c>
      <c r="E22" s="1">
        <f t="shared" ref="E22:N22" si="12">D22*(1+E4)*(1+E6)</f>
        <v>3364.686815699999</v>
      </c>
      <c r="F22" s="1">
        <f t="shared" si="12"/>
        <v>3641.4659531594807</v>
      </c>
      <c r="G22" s="1">
        <f t="shared" si="12"/>
        <v>3941.0129424663792</v>
      </c>
      <c r="H22" s="1">
        <f t="shared" si="12"/>
        <v>4265.2006671136633</v>
      </c>
      <c r="I22" s="1">
        <f t="shared" si="12"/>
        <v>4616.0560739904322</v>
      </c>
      <c r="J22" s="1">
        <f t="shared" si="12"/>
        <v>4995.7728466368844</v>
      </c>
      <c r="K22" s="1">
        <f t="shared" si="12"/>
        <v>5406.7251210012346</v>
      </c>
      <c r="L22" s="1">
        <f t="shared" si="12"/>
        <v>5851.4823294547959</v>
      </c>
      <c r="M22" s="1">
        <f t="shared" si="12"/>
        <v>6332.8252658757474</v>
      </c>
      <c r="N22" s="1">
        <f t="shared" si="12"/>
        <v>6853.7634722466864</v>
      </c>
      <c r="O22" s="22">
        <f t="shared" si="2"/>
        <v>55377.936487645304</v>
      </c>
    </row>
    <row r="23" spans="2:17" x14ac:dyDescent="0.3">
      <c r="B23" t="s">
        <v>28</v>
      </c>
      <c r="C23" s="1">
        <v>1500</v>
      </c>
      <c r="D23" s="1">
        <f>C23*(1+D4)*(1+D5)</f>
        <v>1554.4724999999996</v>
      </c>
      <c r="E23" s="1">
        <f t="shared" ref="E23:N23" si="13">D23*(1+E4)*(1+E6)</f>
        <v>1682.3434078499995</v>
      </c>
      <c r="F23" s="1">
        <f t="shared" si="13"/>
        <v>1820.7329765797404</v>
      </c>
      <c r="G23" s="1">
        <f t="shared" si="13"/>
        <v>1970.5064712331896</v>
      </c>
      <c r="H23" s="1">
        <f t="shared" si="13"/>
        <v>2132.6003335568316</v>
      </c>
      <c r="I23" s="1">
        <f t="shared" si="13"/>
        <v>2308.0280369952161</v>
      </c>
      <c r="J23" s="1">
        <f t="shared" si="13"/>
        <v>2497.8864233184422</v>
      </c>
      <c r="K23" s="1">
        <f t="shared" si="13"/>
        <v>2703.3625605006173</v>
      </c>
      <c r="L23" s="1">
        <f t="shared" si="13"/>
        <v>2925.741164727398</v>
      </c>
      <c r="M23" s="1">
        <f t="shared" si="13"/>
        <v>3166.4126329378737</v>
      </c>
      <c r="N23" s="1">
        <f t="shared" si="13"/>
        <v>3426.8817361233432</v>
      </c>
      <c r="O23" s="22">
        <f t="shared" si="2"/>
        <v>27688.968243822652</v>
      </c>
    </row>
    <row r="24" spans="2:17" x14ac:dyDescent="0.3">
      <c r="B24" t="s">
        <v>36</v>
      </c>
      <c r="C24" s="1">
        <v>3000</v>
      </c>
      <c r="D24" s="1">
        <f>C24*(1+D4)*(1+D5)</f>
        <v>3108.9449999999993</v>
      </c>
      <c r="E24" s="1">
        <f t="shared" ref="E24:N24" si="14">D24*(1+E4)*(1+E6)</f>
        <v>3364.686815699999</v>
      </c>
      <c r="F24" s="1">
        <f t="shared" si="14"/>
        <v>3641.4659531594807</v>
      </c>
      <c r="G24" s="1">
        <f t="shared" si="14"/>
        <v>3941.0129424663792</v>
      </c>
      <c r="H24" s="1">
        <f t="shared" si="14"/>
        <v>4265.2006671136633</v>
      </c>
      <c r="I24" s="1">
        <f t="shared" si="14"/>
        <v>4616.0560739904322</v>
      </c>
      <c r="J24" s="1">
        <f t="shared" si="14"/>
        <v>4995.7728466368844</v>
      </c>
      <c r="K24" s="1">
        <f t="shared" si="14"/>
        <v>5406.7251210012346</v>
      </c>
      <c r="L24" s="1">
        <f t="shared" si="14"/>
        <v>5851.4823294547959</v>
      </c>
      <c r="M24" s="1">
        <f t="shared" si="14"/>
        <v>6332.8252658757474</v>
      </c>
      <c r="N24" s="1">
        <f t="shared" si="14"/>
        <v>6853.7634722466864</v>
      </c>
      <c r="O24" s="22">
        <f t="shared" si="2"/>
        <v>55377.936487645304</v>
      </c>
    </row>
    <row r="25" spans="2:17" x14ac:dyDescent="0.3">
      <c r="B25" s="7" t="s">
        <v>43</v>
      </c>
      <c r="C25" s="8">
        <f>SUM(C26:C28)</f>
        <v>9700</v>
      </c>
      <c r="D25" s="8">
        <f t="shared" ref="D25:N25" si="15">SUM(D26:D28)</f>
        <v>10052.255499999997</v>
      </c>
      <c r="E25" s="8">
        <f t="shared" si="15"/>
        <v>10417.303158482497</v>
      </c>
      <c r="F25" s="8">
        <f t="shared" si="15"/>
        <v>10795.607522682785</v>
      </c>
      <c r="G25" s="8">
        <f t="shared" si="15"/>
        <v>11187.650009869008</v>
      </c>
      <c r="H25" s="8">
        <f t="shared" si="15"/>
        <v>11593.929519977399</v>
      </c>
      <c r="I25" s="8">
        <f t="shared" si="15"/>
        <v>12014.963070495376</v>
      </c>
      <c r="J25" s="8">
        <f t="shared" si="15"/>
        <v>12451.286454400413</v>
      </c>
      <c r="K25" s="8">
        <f t="shared" si="15"/>
        <v>12903.454921991961</v>
      </c>
      <c r="L25" s="8">
        <f t="shared" si="15"/>
        <v>13372.043887484095</v>
      </c>
      <c r="M25" s="8">
        <f t="shared" si="15"/>
        <v>13857.649661258078</v>
      </c>
      <c r="N25" s="8">
        <f t="shared" si="15"/>
        <v>14360.890208706662</v>
      </c>
      <c r="O25" s="8">
        <f t="shared" si="2"/>
        <v>142707.03391534826</v>
      </c>
    </row>
    <row r="26" spans="2:17" x14ac:dyDescent="0.3">
      <c r="B26" t="s">
        <v>29</v>
      </c>
      <c r="C26" s="1">
        <v>3000</v>
      </c>
      <c r="D26" s="1">
        <f t="shared" ref="D26:N26" si="16">C26*(1+D4)*(1+D5)</f>
        <v>3108.9449999999993</v>
      </c>
      <c r="E26" s="1">
        <f t="shared" si="16"/>
        <v>3221.8463376749987</v>
      </c>
      <c r="F26" s="1">
        <f t="shared" si="16"/>
        <v>3338.8476874276657</v>
      </c>
      <c r="G26" s="1">
        <f t="shared" si="16"/>
        <v>3460.0979411966009</v>
      </c>
      <c r="H26" s="1">
        <f t="shared" si="16"/>
        <v>3585.7513979311548</v>
      </c>
      <c r="I26" s="1">
        <f t="shared" si="16"/>
        <v>3715.9679599470242</v>
      </c>
      <c r="J26" s="1">
        <f t="shared" si="16"/>
        <v>3850.9133364124996</v>
      </c>
      <c r="K26" s="1">
        <f t="shared" si="16"/>
        <v>3990.7592542243187</v>
      </c>
      <c r="L26" s="1">
        <f t="shared" si="16"/>
        <v>4135.6836765414737</v>
      </c>
      <c r="M26" s="1">
        <f t="shared" si="16"/>
        <v>4285.8710292550759</v>
      </c>
      <c r="N26" s="1">
        <f t="shared" si="16"/>
        <v>4441.5124356824736</v>
      </c>
      <c r="O26" s="22">
        <f t="shared" si="2"/>
        <v>44136.196056293287</v>
      </c>
    </row>
    <row r="27" spans="2:17" x14ac:dyDescent="0.3">
      <c r="B27" t="s">
        <v>30</v>
      </c>
      <c r="C27" s="1">
        <v>2500</v>
      </c>
      <c r="D27" s="1">
        <f t="shared" ref="D27:N27" si="17">C27*(1+D4)*(1+D5)</f>
        <v>2590.7874999999995</v>
      </c>
      <c r="E27" s="1">
        <f t="shared" si="17"/>
        <v>2684.8719480624986</v>
      </c>
      <c r="F27" s="1">
        <f t="shared" si="17"/>
        <v>2782.3730728563878</v>
      </c>
      <c r="G27" s="1">
        <f t="shared" si="17"/>
        <v>2883.4149509971671</v>
      </c>
      <c r="H27" s="1">
        <f t="shared" si="17"/>
        <v>2988.1261649426287</v>
      </c>
      <c r="I27" s="1">
        <f t="shared" si="17"/>
        <v>3096.6399666225198</v>
      </c>
      <c r="J27" s="1">
        <f t="shared" si="17"/>
        <v>3209.0944470104159</v>
      </c>
      <c r="K27" s="1">
        <f t="shared" si="17"/>
        <v>3325.6327118535987</v>
      </c>
      <c r="L27" s="1">
        <f t="shared" si="17"/>
        <v>3446.4030637845613</v>
      </c>
      <c r="M27" s="1">
        <f t="shared" si="17"/>
        <v>3571.5591910458966</v>
      </c>
      <c r="N27" s="1">
        <f t="shared" si="17"/>
        <v>3701.2603630687277</v>
      </c>
      <c r="O27" s="22">
        <f t="shared" si="2"/>
        <v>36780.163380244398</v>
      </c>
      <c r="Q27" s="16"/>
    </row>
    <row r="28" spans="2:17" x14ac:dyDescent="0.3">
      <c r="B28" t="s">
        <v>31</v>
      </c>
      <c r="C28" s="1">
        <v>4200</v>
      </c>
      <c r="D28" s="1">
        <f t="shared" ref="D28:N28" si="18">C28*(1+D4)*(1+D5)</f>
        <v>4352.5229999999992</v>
      </c>
      <c r="E28" s="1">
        <f t="shared" si="18"/>
        <v>4510.5848727449984</v>
      </c>
      <c r="F28" s="1">
        <f t="shared" si="18"/>
        <v>4674.3867623987317</v>
      </c>
      <c r="G28" s="1">
        <f t="shared" si="18"/>
        <v>4844.13711767524</v>
      </c>
      <c r="H28" s="1">
        <f t="shared" si="18"/>
        <v>5020.0519571036157</v>
      </c>
      <c r="I28" s="1">
        <f t="shared" si="18"/>
        <v>5202.3551439258317</v>
      </c>
      <c r="J28" s="1">
        <f t="shared" si="18"/>
        <v>5391.2786709774973</v>
      </c>
      <c r="K28" s="1">
        <f t="shared" si="18"/>
        <v>5587.0629559140443</v>
      </c>
      <c r="L28" s="1">
        <f t="shared" si="18"/>
        <v>5789.9571471580612</v>
      </c>
      <c r="M28" s="1">
        <f t="shared" si="18"/>
        <v>6000.2194409571048</v>
      </c>
      <c r="N28" s="1">
        <f t="shared" si="18"/>
        <v>6218.117409955461</v>
      </c>
      <c r="O28" s="22">
        <f t="shared" si="2"/>
        <v>61790.674478810586</v>
      </c>
    </row>
    <row r="29" spans="2:17" x14ac:dyDescent="0.3">
      <c r="B29" s="7" t="s">
        <v>40</v>
      </c>
      <c r="C29" s="8">
        <f t="shared" ref="C29:N29" si="19">SUM(C30:C30)</f>
        <v>13000</v>
      </c>
      <c r="D29" s="8">
        <f t="shared" si="19"/>
        <v>14040.000000000002</v>
      </c>
      <c r="E29" s="8">
        <f t="shared" si="19"/>
        <v>15163.200000000003</v>
      </c>
      <c r="F29" s="8">
        <f t="shared" si="19"/>
        <v>16376.256000000003</v>
      </c>
      <c r="G29" s="8">
        <f t="shared" si="19"/>
        <v>17686.356480000006</v>
      </c>
      <c r="H29" s="8">
        <f t="shared" si="19"/>
        <v>19101.264998400009</v>
      </c>
      <c r="I29" s="8">
        <f t="shared" si="19"/>
        <v>20629.366198272011</v>
      </c>
      <c r="J29" s="8">
        <f t="shared" si="19"/>
        <v>22279.715494133772</v>
      </c>
      <c r="K29" s="8">
        <f t="shared" si="19"/>
        <v>24062.092733664475</v>
      </c>
      <c r="L29" s="8">
        <f t="shared" si="19"/>
        <v>25987.060152357633</v>
      </c>
      <c r="M29" s="8">
        <f t="shared" si="19"/>
        <v>28066.024964546246</v>
      </c>
      <c r="N29" s="8">
        <f t="shared" si="19"/>
        <v>30311.306961709946</v>
      </c>
      <c r="O29" s="8">
        <f t="shared" ref="O29" si="20">SUM(C29:N29)</f>
        <v>246702.6439830841</v>
      </c>
    </row>
    <row r="30" spans="2:17" x14ac:dyDescent="0.3">
      <c r="B30" t="s">
        <v>41</v>
      </c>
      <c r="C30" s="1">
        <v>13000</v>
      </c>
      <c r="D30" s="1">
        <f>C30*(1+8%)</f>
        <v>14040.000000000002</v>
      </c>
      <c r="E30" s="1">
        <f t="shared" ref="E30:O30" si="21">D30*(1+8%)</f>
        <v>15163.200000000003</v>
      </c>
      <c r="F30" s="1">
        <f t="shared" si="21"/>
        <v>16376.256000000003</v>
      </c>
      <c r="G30" s="1">
        <f t="shared" si="21"/>
        <v>17686.356480000006</v>
      </c>
      <c r="H30" s="1">
        <f t="shared" si="21"/>
        <v>19101.264998400009</v>
      </c>
      <c r="I30" s="1">
        <f t="shared" si="21"/>
        <v>20629.366198272011</v>
      </c>
      <c r="J30" s="1">
        <f t="shared" si="21"/>
        <v>22279.715494133772</v>
      </c>
      <c r="K30" s="1">
        <f t="shared" si="21"/>
        <v>24062.092733664475</v>
      </c>
      <c r="L30" s="1">
        <f t="shared" si="21"/>
        <v>25987.060152357633</v>
      </c>
      <c r="M30" s="1">
        <f t="shared" si="21"/>
        <v>28066.024964546246</v>
      </c>
      <c r="N30" s="1">
        <f t="shared" si="21"/>
        <v>30311.306961709946</v>
      </c>
      <c r="O30" s="1">
        <f t="shared" si="21"/>
        <v>32736.211518646745</v>
      </c>
    </row>
    <row r="31" spans="2:17" x14ac:dyDescent="0.3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7" x14ac:dyDescent="0.3">
      <c r="B32" s="9" t="s">
        <v>5</v>
      </c>
      <c r="C32" s="10">
        <f t="shared" ref="C32:N32" si="22">C9-C14</f>
        <v>26800</v>
      </c>
      <c r="D32" s="10">
        <f t="shared" si="22"/>
        <v>30001.922000000006</v>
      </c>
      <c r="E32" s="10">
        <f t="shared" si="22"/>
        <v>32758.434182667515</v>
      </c>
      <c r="F32" s="10">
        <f t="shared" si="22"/>
        <v>35744.605428150229</v>
      </c>
      <c r="G32" s="10">
        <f t="shared" si="22"/>
        <v>38978.827470779564</v>
      </c>
      <c r="H32" s="10">
        <f t="shared" si="22"/>
        <v>42480.938339707733</v>
      </c>
      <c r="I32" s="10">
        <f t="shared" si="22"/>
        <v>46272.335036124117</v>
      </c>
      <c r="J32" s="10">
        <f t="shared" si="22"/>
        <v>50376.094940609997</v>
      </c>
      <c r="K32" s="10">
        <f t="shared" si="22"/>
        <v>54817.106624403677</v>
      </c>
      <c r="L32" s="10">
        <f t="shared" si="22"/>
        <v>59622.210790176236</v>
      </c>
      <c r="M32" s="10">
        <f t="shared" si="22"/>
        <v>64820.352123721386</v>
      </c>
      <c r="N32" s="10">
        <f t="shared" si="22"/>
        <v>70442.742898042838</v>
      </c>
      <c r="O32" s="10">
        <f t="shared" si="2"/>
        <v>553115.5698343832</v>
      </c>
    </row>
    <row r="33" spans="2:15" x14ac:dyDescent="0.3">
      <c r="B33" s="20" t="s">
        <v>6</v>
      </c>
      <c r="C33" s="21">
        <v>6000</v>
      </c>
      <c r="D33" s="21"/>
      <c r="E33" s="21">
        <v>4000</v>
      </c>
      <c r="F33" s="21"/>
      <c r="G33" s="21">
        <v>2000</v>
      </c>
      <c r="H33" s="21">
        <v>1500</v>
      </c>
      <c r="I33" s="21">
        <v>3600</v>
      </c>
      <c r="J33" s="21"/>
      <c r="K33" s="21">
        <v>6000</v>
      </c>
      <c r="L33" s="21"/>
      <c r="M33" s="21">
        <v>10000</v>
      </c>
      <c r="N33" s="21">
        <v>10000</v>
      </c>
      <c r="O33" s="21">
        <f t="shared" si="2"/>
        <v>43100</v>
      </c>
    </row>
    <row r="34" spans="2:15" x14ac:dyDescent="0.3">
      <c r="B34" s="2" t="s">
        <v>32</v>
      </c>
      <c r="C34" s="3">
        <f>C33</f>
        <v>6000</v>
      </c>
      <c r="D34" s="3">
        <f>D33+C34</f>
        <v>6000</v>
      </c>
      <c r="E34" s="3">
        <f t="shared" ref="E34:N34" si="23">E33+D34</f>
        <v>10000</v>
      </c>
      <c r="F34" s="3">
        <f>F33+E34</f>
        <v>10000</v>
      </c>
      <c r="G34" s="3">
        <f t="shared" si="23"/>
        <v>12000</v>
      </c>
      <c r="H34" s="3">
        <f t="shared" si="23"/>
        <v>13500</v>
      </c>
      <c r="I34" s="3">
        <f t="shared" si="23"/>
        <v>17100</v>
      </c>
      <c r="J34" s="3">
        <f t="shared" si="23"/>
        <v>17100</v>
      </c>
      <c r="K34" s="3">
        <f t="shared" si="23"/>
        <v>23100</v>
      </c>
      <c r="L34" s="3">
        <f t="shared" si="23"/>
        <v>23100</v>
      </c>
      <c r="M34" s="3">
        <f t="shared" si="23"/>
        <v>33100</v>
      </c>
      <c r="N34" s="3">
        <f t="shared" si="23"/>
        <v>43100</v>
      </c>
      <c r="O34" s="3">
        <f t="shared" si="2"/>
        <v>214100</v>
      </c>
    </row>
    <row r="35" spans="2:15" x14ac:dyDescent="0.3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2"/>
    </row>
    <row r="36" spans="2:15" x14ac:dyDescent="0.3">
      <c r="B36" s="9" t="s">
        <v>7</v>
      </c>
      <c r="C36" s="10">
        <f t="shared" ref="C36:N36" si="24">C32-C33</f>
        <v>20800</v>
      </c>
      <c r="D36" s="10">
        <f t="shared" si="24"/>
        <v>30001.922000000006</v>
      </c>
      <c r="E36" s="10">
        <f t="shared" si="24"/>
        <v>28758.434182667515</v>
      </c>
      <c r="F36" s="10">
        <f t="shared" si="24"/>
        <v>35744.605428150229</v>
      </c>
      <c r="G36" s="10">
        <f t="shared" si="24"/>
        <v>36978.827470779564</v>
      </c>
      <c r="H36" s="10">
        <f t="shared" si="24"/>
        <v>40980.938339707733</v>
      </c>
      <c r="I36" s="10">
        <f t="shared" si="24"/>
        <v>42672.335036124117</v>
      </c>
      <c r="J36" s="10">
        <f t="shared" si="24"/>
        <v>50376.094940609997</v>
      </c>
      <c r="K36" s="10">
        <f t="shared" si="24"/>
        <v>48817.106624403677</v>
      </c>
      <c r="L36" s="10">
        <f t="shared" si="24"/>
        <v>59622.210790176236</v>
      </c>
      <c r="M36" s="10">
        <f t="shared" si="24"/>
        <v>54820.352123721386</v>
      </c>
      <c r="N36" s="10">
        <f t="shared" si="24"/>
        <v>60442.742898042838</v>
      </c>
      <c r="O36" s="10">
        <f t="shared" si="2"/>
        <v>510015.56983438326</v>
      </c>
    </row>
    <row r="37" spans="2:15" x14ac:dyDescent="0.3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2"/>
    </row>
    <row r="38" spans="2:15" x14ac:dyDescent="0.3">
      <c r="B38" s="2" t="s">
        <v>8</v>
      </c>
      <c r="C38" s="3">
        <v>15000</v>
      </c>
      <c r="D38" s="3">
        <v>15000</v>
      </c>
      <c r="E38" s="3">
        <v>15000</v>
      </c>
      <c r="F38" s="3">
        <v>15000</v>
      </c>
      <c r="G38" s="3">
        <v>15000</v>
      </c>
      <c r="H38" s="3">
        <v>15000</v>
      </c>
      <c r="I38" s="3">
        <v>15000</v>
      </c>
      <c r="J38" s="3">
        <v>15000</v>
      </c>
      <c r="K38" s="3">
        <v>15000</v>
      </c>
      <c r="L38" s="3">
        <v>15000</v>
      </c>
      <c r="M38" s="3">
        <v>15000</v>
      </c>
      <c r="N38" s="3">
        <v>15000</v>
      </c>
      <c r="O38" s="3">
        <f>SUM(C38:N38)</f>
        <v>180000</v>
      </c>
    </row>
    <row r="39" spans="2:15" x14ac:dyDescent="0.3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2"/>
    </row>
    <row r="40" spans="2:15" x14ac:dyDescent="0.3">
      <c r="B40" s="9" t="s">
        <v>37</v>
      </c>
      <c r="C40" s="10">
        <f>C36+C38</f>
        <v>35800</v>
      </c>
      <c r="D40" s="10">
        <f t="shared" ref="D40:N40" si="25">D36+D38</f>
        <v>45001.922000000006</v>
      </c>
      <c r="E40" s="10">
        <f t="shared" si="25"/>
        <v>43758.434182667515</v>
      </c>
      <c r="F40" s="10">
        <f t="shared" si="25"/>
        <v>50744.605428150229</v>
      </c>
      <c r="G40" s="10">
        <f>G36+G38</f>
        <v>51978.827470779564</v>
      </c>
      <c r="H40" s="10">
        <f t="shared" si="25"/>
        <v>55980.938339707733</v>
      </c>
      <c r="I40" s="10">
        <f t="shared" si="25"/>
        <v>57672.335036124117</v>
      </c>
      <c r="J40" s="10">
        <f t="shared" si="25"/>
        <v>65376.094940609997</v>
      </c>
      <c r="K40" s="10">
        <f t="shared" si="25"/>
        <v>63817.106624403677</v>
      </c>
      <c r="L40" s="10">
        <f t="shared" si="25"/>
        <v>74622.210790176236</v>
      </c>
      <c r="M40" s="10">
        <f t="shared" si="25"/>
        <v>69820.352123721386</v>
      </c>
      <c r="N40" s="10">
        <f t="shared" si="25"/>
        <v>75442.742898042838</v>
      </c>
      <c r="O40" s="10">
        <f>SUM(C40:N40)</f>
        <v>690015.5698343832</v>
      </c>
    </row>
    <row r="41" spans="2:15" x14ac:dyDescent="0.3">
      <c r="B41" t="s">
        <v>38</v>
      </c>
      <c r="C41" s="1">
        <f>C40</f>
        <v>35800</v>
      </c>
      <c r="D41" s="1">
        <f>C41+D40</f>
        <v>80801.922000000006</v>
      </c>
      <c r="E41" s="1">
        <f t="shared" ref="E41:N41" si="26">D41+E40</f>
        <v>124560.35618266751</v>
      </c>
      <c r="F41" s="1">
        <f t="shared" si="26"/>
        <v>175304.96161081776</v>
      </c>
      <c r="G41" s="1">
        <f t="shared" si="26"/>
        <v>227283.78908159732</v>
      </c>
      <c r="H41" s="1">
        <f t="shared" si="26"/>
        <v>283264.72742130503</v>
      </c>
      <c r="I41" s="1">
        <f t="shared" si="26"/>
        <v>340937.06245742913</v>
      </c>
      <c r="J41" s="1">
        <f t="shared" si="26"/>
        <v>406313.15739803913</v>
      </c>
      <c r="K41" s="1">
        <f t="shared" si="26"/>
        <v>470130.2640224428</v>
      </c>
      <c r="L41" s="1">
        <f t="shared" si="26"/>
        <v>544752.47481261904</v>
      </c>
      <c r="M41" s="1">
        <f t="shared" si="26"/>
        <v>614572.82693634043</v>
      </c>
      <c r="N41" s="1">
        <f t="shared" si="26"/>
        <v>690015.5698343832</v>
      </c>
      <c r="O41" s="22">
        <f t="shared" si="2"/>
        <v>3993737.1117576412</v>
      </c>
    </row>
    <row r="42" spans="2:15" x14ac:dyDescent="0.3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x14ac:dyDescent="0.3"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2:15" x14ac:dyDescent="0.3">
      <c r="C44" s="16"/>
      <c r="D44" s="16"/>
      <c r="E44" s="16"/>
      <c r="F44" s="16"/>
      <c r="G44" s="16"/>
      <c r="H44" s="16"/>
      <c r="I44" s="1"/>
      <c r="J44" s="1"/>
      <c r="K44" s="1"/>
      <c r="L44" s="1"/>
      <c r="M44" s="1"/>
      <c r="N44" s="1"/>
      <c r="O44" s="1"/>
    </row>
    <row r="45" spans="2:15" x14ac:dyDescent="0.3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x14ac:dyDescent="0.3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x14ac:dyDescent="0.3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x14ac:dyDescent="0.3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3:15" x14ac:dyDescent="0.3"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</sheetData>
  <mergeCells count="1">
    <mergeCell ref="B1:D1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E3580-891C-44DB-9060-1F8E1B8CE109}">
  <dimension ref="A2:N22"/>
  <sheetViews>
    <sheetView showGridLines="0" workbookViewId="0">
      <selection activeCell="A5" sqref="A5"/>
    </sheetView>
  </sheetViews>
  <sheetFormatPr defaultRowHeight="14.4" x14ac:dyDescent="0.3"/>
  <cols>
    <col min="1" max="1" width="38.21875" bestFit="1" customWidth="1"/>
  </cols>
  <sheetData>
    <row r="2" spans="1:14" ht="15.6" x14ac:dyDescent="0.3">
      <c r="A2" s="28" t="s">
        <v>49</v>
      </c>
      <c r="B2" s="25" t="s">
        <v>50</v>
      </c>
      <c r="C2" s="25" t="s">
        <v>51</v>
      </c>
      <c r="D2" s="25" t="s">
        <v>52</v>
      </c>
      <c r="E2" s="25" t="s">
        <v>53</v>
      </c>
      <c r="F2" s="25" t="s">
        <v>54</v>
      </c>
      <c r="G2" s="25" t="s">
        <v>55</v>
      </c>
      <c r="H2" s="25" t="s">
        <v>56</v>
      </c>
      <c r="I2" s="25" t="s">
        <v>57</v>
      </c>
      <c r="J2" s="25" t="s">
        <v>58</v>
      </c>
      <c r="K2" s="25" t="s">
        <v>59</v>
      </c>
      <c r="L2" s="25" t="s">
        <v>60</v>
      </c>
      <c r="M2" s="25" t="s">
        <v>61</v>
      </c>
      <c r="N2" s="25" t="s">
        <v>48</v>
      </c>
    </row>
    <row r="3" spans="1:14" ht="15.6" x14ac:dyDescent="0.3">
      <c r="A3" s="30" t="s">
        <v>62</v>
      </c>
      <c r="B3" s="31">
        <f>('Planejamento Financeiro '!C9-'Planejamento Financeiro '!C15)/'Planejamento Financeiro '!C9</f>
        <v>0.77380952380952384</v>
      </c>
      <c r="C3" s="31">
        <f>('Planejamento Financeiro '!D9-'Planejamento Financeiro '!D15)/'Planejamento Financeiro '!D9</f>
        <v>0.77333619929453257</v>
      </c>
      <c r="D3" s="31">
        <f>('Planejamento Financeiro '!E9-'Planejamento Financeiro '!E15)/'Planejamento Financeiro '!E9</f>
        <v>0.77286188430416758</v>
      </c>
      <c r="E3" s="31">
        <f>('Planejamento Financeiro '!F9-'Planejamento Financeiro '!F15)/'Planejamento Financeiro '!F9</f>
        <v>0.77238657676576705</v>
      </c>
      <c r="F3" s="31">
        <f>('Planejamento Financeiro '!G9-'Planejamento Financeiro '!G15)/'Planejamento Financeiro '!G9</f>
        <v>0.77191027460233241</v>
      </c>
      <c r="G3" s="31">
        <f>('Planejamento Financeiro '!H9-'Planejamento Financeiro '!H15)/'Planejamento Financeiro '!H9</f>
        <v>0.77143297573251879</v>
      </c>
      <c r="H3" s="31">
        <f>('Planejamento Financeiro '!I9-'Planejamento Financeiro '!I15)/'Planejamento Financeiro '!I9</f>
        <v>0.77095467807062579</v>
      </c>
      <c r="I3" s="31">
        <f>('Planejamento Financeiro '!J9-'Planejamento Financeiro '!J15)/'Planejamento Financeiro '!J9</f>
        <v>0.7704753795265884</v>
      </c>
      <c r="J3" s="31">
        <f>('Planejamento Financeiro '!K9-'Planejamento Financeiro '!K15)/'Planejamento Financeiro '!K9</f>
        <v>0.76999507800596811</v>
      </c>
      <c r="K3" s="31">
        <f>('Planejamento Financeiro '!L9-'Planejamento Financeiro '!L15)/'Planejamento Financeiro '!L9</f>
        <v>0.7695137714099437</v>
      </c>
      <c r="L3" s="31">
        <f>('Planejamento Financeiro '!M9-'Planejamento Financeiro '!M15)/'Planejamento Financeiro '!M9</f>
        <v>0.76903145763530145</v>
      </c>
      <c r="M3" s="31">
        <f>('Planejamento Financeiro '!N9-'Planejamento Financeiro '!N15)/'Planejamento Financeiro '!N9</f>
        <v>0.76854813457442717</v>
      </c>
      <c r="N3" s="31">
        <f>('Planejamento Financeiro '!O9-'Planejamento Financeiro '!O15)/'Planejamento Financeiro '!O9</f>
        <v>0.77075532460385343</v>
      </c>
    </row>
    <row r="4" spans="1:14" ht="15.6" x14ac:dyDescent="0.3">
      <c r="A4" s="30" t="s">
        <v>46</v>
      </c>
      <c r="B4" s="31">
        <f>'Planejamento Financeiro '!C32/'Planejamento Financeiro '!C9</f>
        <v>0.31904761904761902</v>
      </c>
      <c r="C4" s="31">
        <f>'Planejamento Financeiro '!D32/'Planejamento Financeiro '!D9</f>
        <v>0.33070901675485015</v>
      </c>
      <c r="D4" s="31">
        <f>'Planejamento Financeiro '!E32/'Planejamento Financeiro '!E9</f>
        <v>0.3343461585369259</v>
      </c>
      <c r="E4" s="31">
        <f>'Planejamento Financeiro '!F32/'Planejamento Financeiro '!F9</f>
        <v>0.33780024085012161</v>
      </c>
      <c r="F4" s="31">
        <f>'Planejamento Financeiro '!G32/'Planejamento Financeiro '!G9</f>
        <v>0.3410785930717315</v>
      </c>
      <c r="G4" s="31">
        <f>'Planejamento Financeiro '!H32/'Planejamento Financeiro '!H9</f>
        <v>0.34418824795514302</v>
      </c>
      <c r="H4" s="31">
        <f>'Planejamento Financeiro '!I32/'Planejamento Financeiro '!I9</f>
        <v>0.34713595362767075</v>
      </c>
      <c r="I4" s="31">
        <f>'Planejamento Financeiro '!J32/'Planejamento Financeiro '!J9</f>
        <v>0.34992818510308699</v>
      </c>
      <c r="J4" s="31">
        <f>'Planejamento Financeiro '!K32/'Planejamento Financeiro '!K9</f>
        <v>0.35257115532848143</v>
      </c>
      <c r="K4" s="31">
        <f>'Planejamento Financeiro '!L32/'Planejamento Financeiro '!L9</f>
        <v>0.35507082578428323</v>
      </c>
      <c r="L4" s="31">
        <f>'Planejamento Financeiro '!M32/'Planejamento Financeiro '!M9</f>
        <v>0.35743291665552357</v>
      </c>
      <c r="M4" s="31">
        <f>'Planejamento Financeiro '!N32/'Planejamento Financeiro '!N9</f>
        <v>0.35966291659167854</v>
      </c>
      <c r="N4" s="31">
        <f>'Planejamento Financeiro '!O32/'Planejamento Financeiro '!O9</f>
        <v>0.34698136087631476</v>
      </c>
    </row>
    <row r="5" spans="1:14" ht="15.6" x14ac:dyDescent="0.3">
      <c r="A5" s="30" t="s">
        <v>47</v>
      </c>
      <c r="B5" s="31">
        <f>'Planejamento Financeiro '!C40/'Planejamento Financeiro '!C9</f>
        <v>0.42619047619047618</v>
      </c>
      <c r="C5" s="31">
        <f>'Planejamento Financeiro '!D40/'Planejamento Financeiro '!D9</f>
        <v>0.4960529320987655</v>
      </c>
      <c r="D5" s="31">
        <f>'Planejamento Financeiro '!E40/'Planejamento Financeiro '!E9</f>
        <v>0.44661671833834993</v>
      </c>
      <c r="E5" s="31">
        <f>'Planejamento Financeiro '!F40/'Planejamento Financeiro '!F9</f>
        <v>0.47955599817515188</v>
      </c>
      <c r="F5" s="31">
        <f>'Planejamento Financeiro '!G40/'Planejamento Financeiro '!G9</f>
        <v>0.45483321314737307</v>
      </c>
      <c r="G5" s="31">
        <f>'Planejamento Financeiro '!H40/'Planejamento Financeiro '!H9</f>
        <v>0.4535676903355676</v>
      </c>
      <c r="H5" s="31">
        <f>'Planejamento Financeiro '!I40/'Planejamento Financeiro '!I9</f>
        <v>0.43265897441894918</v>
      </c>
      <c r="I5" s="31">
        <f>'Planejamento Financeiro '!J40/'Planejamento Financeiro '!J9</f>
        <v>0.45412289854275378</v>
      </c>
      <c r="J5" s="31">
        <f>'Planejamento Financeiro '!K40/'Planejamento Financeiro '!K9</f>
        <v>0.41045710723940743</v>
      </c>
      <c r="K5" s="31">
        <f>'Planejamento Financeiro '!L40/'Planejamento Financeiro '!L9</f>
        <v>0.44440099848632947</v>
      </c>
      <c r="L5" s="31">
        <f>'Planejamento Financeiro '!M40/'Planejamento Financeiro '!M9</f>
        <v>0.38500395761294526</v>
      </c>
      <c r="M5" s="31">
        <f>'Planejamento Financeiro '!N40/'Planejamento Financeiro '!N9</f>
        <v>0.38519165821892082</v>
      </c>
      <c r="N5" s="31">
        <f>'Planejamento Financeiro '!O40/'Planejamento Financeiro '!O9</f>
        <v>0.43286169203059904</v>
      </c>
    </row>
    <row r="7" spans="1:14" ht="15.6" x14ac:dyDescent="0.3">
      <c r="A7" s="28" t="s">
        <v>65</v>
      </c>
      <c r="B7" s="29" t="s">
        <v>50</v>
      </c>
      <c r="C7" s="29" t="s">
        <v>51</v>
      </c>
      <c r="D7" s="29" t="s">
        <v>52</v>
      </c>
      <c r="E7" s="29" t="s">
        <v>53</v>
      </c>
      <c r="F7" s="29" t="s">
        <v>54</v>
      </c>
      <c r="G7" s="29" t="s">
        <v>55</v>
      </c>
      <c r="H7" s="29" t="s">
        <v>56</v>
      </c>
      <c r="I7" s="29" t="s">
        <v>57</v>
      </c>
      <c r="J7" s="29" t="s">
        <v>58</v>
      </c>
      <c r="K7" s="29" t="s">
        <v>59</v>
      </c>
      <c r="L7" s="29" t="s">
        <v>60</v>
      </c>
      <c r="M7" s="29" t="s">
        <v>61</v>
      </c>
      <c r="N7" s="29" t="s">
        <v>48</v>
      </c>
    </row>
    <row r="8" spans="1:14" ht="15.6" x14ac:dyDescent="0.3">
      <c r="A8" s="30" t="s">
        <v>67</v>
      </c>
      <c r="B8" s="31">
        <f>'Planejamento Financeiro '!C36/'Planejamento Financeiro '!C40</f>
        <v>0.58100558659217882</v>
      </c>
      <c r="C8" s="31">
        <f>'Planejamento Financeiro '!D36/'Planejamento Financeiro '!D40</f>
        <v>0.66668090309565009</v>
      </c>
      <c r="D8" s="31">
        <f>'Planejamento Financeiro '!E36/'Planejamento Financeiro '!E40</f>
        <v>0.65720894085507697</v>
      </c>
      <c r="E8" s="31">
        <f>'Planejamento Financeiro '!F36/'Planejamento Financeiro '!F40</f>
        <v>0.7044020763697012</v>
      </c>
      <c r="F8" s="31">
        <f>'Planejamento Financeiro '!G36/'Planejamento Financeiro '!G40</f>
        <v>0.7114209625364788</v>
      </c>
      <c r="G8" s="31">
        <f>'Planejamento Financeiro '!H36/'Planejamento Financeiro '!H40</f>
        <v>0.73205165106422698</v>
      </c>
      <c r="H8" s="31">
        <f>'Planejamento Financeiro '!I36/'Planejamento Financeiro '!I40</f>
        <v>0.73990995872449972</v>
      </c>
      <c r="I8" s="31">
        <f>'Planejamento Financeiro '!J36/'Planejamento Financeiro '!J40</f>
        <v>0.77055833613759672</v>
      </c>
      <c r="J8" s="31">
        <f>'Planejamento Financeiro '!K36/'Planejamento Financeiro '!K40</f>
        <v>0.76495330494560532</v>
      </c>
      <c r="K8" s="31">
        <f>'Planejamento Financeiro '!L36/'Planejamento Financeiro '!L40</f>
        <v>0.79898746176018276</v>
      </c>
      <c r="L8" s="31">
        <f>'Planejamento Financeiro '!M36/'Planejamento Financeiro '!M40</f>
        <v>0.78516292823301637</v>
      </c>
      <c r="M8" s="31">
        <f>'Planejamento Financeiro '!N36/'Planejamento Financeiro '!N40</f>
        <v>0.80117371898484968</v>
      </c>
      <c r="N8" s="31">
        <f>'Planejamento Financeiro '!O36/'Planejamento Financeiro '!O40</f>
        <v>0.73913632116561756</v>
      </c>
    </row>
    <row r="9" spans="1:14" ht="15.6" x14ac:dyDescent="0.3">
      <c r="A9" s="30" t="s">
        <v>68</v>
      </c>
      <c r="B9" s="31">
        <f>'Planejamento Financeiro '!C32/'Planejamento Financeiro '!C38</f>
        <v>1.7866666666666666</v>
      </c>
      <c r="C9" s="31">
        <f>'Planejamento Financeiro '!D32/'Planejamento Financeiro '!D38</f>
        <v>2.0001281333333338</v>
      </c>
      <c r="D9" s="31">
        <f>'Planejamento Financeiro '!E32/'Planejamento Financeiro '!E38</f>
        <v>2.1838956121778343</v>
      </c>
      <c r="E9" s="31">
        <f>'Planejamento Financeiro '!F32/'Planejamento Financeiro '!F38</f>
        <v>2.3829736952100151</v>
      </c>
      <c r="F9" s="31">
        <f>'Planejamento Financeiro '!G32/'Planejamento Financeiro '!G38</f>
        <v>2.5985884980519711</v>
      </c>
      <c r="G9" s="31">
        <f>'Planejamento Financeiro '!H32/'Planejamento Financeiro '!H38</f>
        <v>2.8320625559805155</v>
      </c>
      <c r="H9" s="31">
        <f>'Planejamento Financeiro '!I32/'Planejamento Financeiro '!I38</f>
        <v>3.0848223357416078</v>
      </c>
      <c r="I9" s="31">
        <f>'Planejamento Financeiro '!J32/'Planejamento Financeiro '!J38</f>
        <v>3.3584063293739996</v>
      </c>
      <c r="J9" s="31">
        <f>'Planejamento Financeiro '!K32/'Planejamento Financeiro '!K38</f>
        <v>3.6544737749602452</v>
      </c>
      <c r="K9" s="31">
        <f>'Planejamento Financeiro '!L32/'Planejamento Financeiro '!L38</f>
        <v>3.9748140526784157</v>
      </c>
      <c r="L9" s="31">
        <f>'Planejamento Financeiro '!M32/'Planejamento Financeiro '!M38</f>
        <v>4.3213568082480922</v>
      </c>
      <c r="M9" s="31">
        <f>'Planejamento Financeiro '!N32/'Planejamento Financeiro '!N38</f>
        <v>4.6961828598695226</v>
      </c>
      <c r="N9" s="31">
        <f>'Planejamento Financeiro '!O32/'Planejamento Financeiro '!O38</f>
        <v>3.0728642768576844</v>
      </c>
    </row>
    <row r="12" spans="1:14" ht="15.6" x14ac:dyDescent="0.3">
      <c r="A12" s="28" t="s">
        <v>66</v>
      </c>
      <c r="B12" s="29" t="s">
        <v>50</v>
      </c>
      <c r="C12" s="29" t="s">
        <v>51</v>
      </c>
      <c r="D12" s="29" t="s">
        <v>52</v>
      </c>
      <c r="E12" s="29" t="s">
        <v>53</v>
      </c>
      <c r="F12" s="29" t="s">
        <v>54</v>
      </c>
      <c r="G12" s="29" t="s">
        <v>55</v>
      </c>
      <c r="H12" s="29" t="s">
        <v>56</v>
      </c>
      <c r="I12" s="29" t="s">
        <v>57</v>
      </c>
      <c r="J12" s="29" t="s">
        <v>58</v>
      </c>
      <c r="K12" s="29" t="s">
        <v>59</v>
      </c>
      <c r="L12" s="29" t="s">
        <v>60</v>
      </c>
      <c r="M12" s="29" t="s">
        <v>61</v>
      </c>
      <c r="N12" s="29" t="s">
        <v>48</v>
      </c>
    </row>
    <row r="13" spans="1:14" ht="15.6" x14ac:dyDescent="0.3">
      <c r="A13" s="30" t="s">
        <v>69</v>
      </c>
      <c r="B13" s="31"/>
      <c r="C13" s="31">
        <f>('Planejamento Financeiro '!D9-'Planejamento Financeiro '!C9)/'Planejamento Financeiro '!C9</f>
        <v>0.08</v>
      </c>
      <c r="D13" s="31">
        <f>('Planejamento Financeiro '!E9-'Planejamento Financeiro '!D9)/'Planejamento Financeiro '!D9</f>
        <v>8.0000000000000071E-2</v>
      </c>
      <c r="E13" s="31">
        <f>('Planejamento Financeiro '!F9-'Planejamento Financeiro '!E9)/'Planejamento Financeiro '!E9</f>
        <v>8.0000000000000127E-2</v>
      </c>
      <c r="F13" s="31">
        <f>('Planejamento Financeiro '!G9-'Planejamento Financeiro '!F9)/'Planejamento Financeiro '!F9</f>
        <v>8.000000000000021E-2</v>
      </c>
      <c r="G13" s="31">
        <f>('Planejamento Financeiro '!H9-'Planejamento Financeiro '!G9)/'Planejamento Financeiro '!G9</f>
        <v>8.0000000000000029E-2</v>
      </c>
      <c r="H13" s="31">
        <f>('Planejamento Financeiro '!I9-'Planejamento Financeiro '!H9)/'Planejamento Financeiro '!H9</f>
        <v>7.9999999999999974E-2</v>
      </c>
      <c r="I13" s="31">
        <f>('Planejamento Financeiro '!J9-'Planejamento Financeiro '!I9)/'Planejamento Financeiro '!I9</f>
        <v>7.999999999999996E-2</v>
      </c>
      <c r="J13" s="31">
        <f>('Planejamento Financeiro '!K9-'Planejamento Financeiro '!J9)/'Planejamento Financeiro '!J9</f>
        <v>8.0000000000000085E-2</v>
      </c>
      <c r="K13" s="31">
        <f>('Planejamento Financeiro '!L9-'Planejamento Financeiro '!K9)/'Planejamento Financeiro '!K9</f>
        <v>8.0000000000000127E-2</v>
      </c>
      <c r="L13" s="31">
        <f>('Planejamento Financeiro '!M9-'Planejamento Financeiro '!L9)/'Planejamento Financeiro '!L9</f>
        <v>7.9999999999999863E-2</v>
      </c>
      <c r="M13" s="31">
        <f>('Planejamento Financeiro '!N9-'Planejamento Financeiro '!M9)/'Planejamento Financeiro '!M9</f>
        <v>8.0000000000000196E-2</v>
      </c>
      <c r="N13" s="31"/>
    </row>
    <row r="14" spans="1:14" ht="15.6" x14ac:dyDescent="0.3">
      <c r="A14" s="30" t="s">
        <v>70</v>
      </c>
      <c r="B14" s="31"/>
      <c r="C14" s="31">
        <f>('Planejamento Financeiro '!D40-'Planejamento Financeiro '!C40)/'Planejamento Financeiro '!C40</f>
        <v>0.25703692737430184</v>
      </c>
      <c r="D14" s="31">
        <f>('Planejamento Financeiro '!E40-'Planejamento Financeiro '!D40)/'Planejamento Financeiro '!D40</f>
        <v>-2.7631882418988469E-2</v>
      </c>
      <c r="E14" s="31">
        <f>('Planejamento Financeiro '!F40-'Planejamento Financeiro '!E40)/'Planejamento Financeiro '!E40</f>
        <v>0.15965313604045503</v>
      </c>
      <c r="F14" s="31">
        <f>('Planejamento Financeiro '!G40-'Planejamento Financeiro '!F40)/'Planejamento Financeiro '!F40</f>
        <v>2.4322231539998511E-2</v>
      </c>
      <c r="G14" s="31">
        <f>('Planejamento Financeiro '!H40-'Planejamento Financeiro '!G40)/'Planejamento Financeiro '!G40</f>
        <v>7.6995020158505817E-2</v>
      </c>
      <c r="H14" s="31">
        <f>('Planejamento Financeiro '!I40-'Planejamento Financeiro '!H40)/'Planejamento Financeiro '!H40</f>
        <v>3.0213796813346076E-2</v>
      </c>
      <c r="I14" s="31">
        <f>('Planejamento Financeiro '!J40-'Planejamento Financeiro '!I40)/'Planejamento Financeiro '!I40</f>
        <v>0.13357808210228508</v>
      </c>
      <c r="J14" s="31">
        <f>('Planejamento Financeiro '!K40-'Planejamento Financeiro '!J40)/'Planejamento Financeiro '!J40</f>
        <v>-2.3846458214161627E-2</v>
      </c>
      <c r="K14" s="31">
        <f>('Planejamento Financeiro '!L40-'Planejamento Financeiro '!K40)/'Planejamento Financeiro '!K40</f>
        <v>0.16931360159222078</v>
      </c>
      <c r="L14" s="31">
        <f>('Planejamento Financeiro '!M40-'Planejamento Financeiro '!L40)/'Planejamento Financeiro '!L40</f>
        <v>-6.4348919920863529E-2</v>
      </c>
      <c r="M14" s="31">
        <f>('Planejamento Financeiro '!N40-'Planejamento Financeiro '!M40)/'Planejamento Financeiro '!M40</f>
        <v>8.052653135232829E-2</v>
      </c>
      <c r="N14" s="31"/>
    </row>
    <row r="15" spans="1:14" ht="15.6" x14ac:dyDescent="0.3">
      <c r="A15" s="30" t="s">
        <v>71</v>
      </c>
      <c r="B15" s="31">
        <f>'Planejamento Financeiro '!C40/'Planejamento Financeiro '!C34</f>
        <v>5.9666666666666668</v>
      </c>
      <c r="C15" s="31">
        <f>'Planejamento Financeiro '!D40/'Planejamento Financeiro '!D34</f>
        <v>7.5003203333333346</v>
      </c>
      <c r="D15" s="31">
        <f>'Planejamento Financeiro '!E40/'Planejamento Financeiro '!E34</f>
        <v>4.3758434182667516</v>
      </c>
      <c r="E15" s="31">
        <f>'Planejamento Financeiro '!F40/'Planejamento Financeiro '!F34</f>
        <v>5.0744605428150233</v>
      </c>
      <c r="F15" s="31">
        <f>'Planejamento Financeiro '!G40/'Planejamento Financeiro '!G34</f>
        <v>4.3315689558982973</v>
      </c>
      <c r="G15" s="31">
        <f>'Planejamento Financeiro '!H40/'Planejamento Financeiro '!H34</f>
        <v>4.1467361733116839</v>
      </c>
      <c r="H15" s="31">
        <f>'Planejamento Financeiro '!I40/'Planejamento Financeiro '!I34</f>
        <v>3.3726511717031649</v>
      </c>
      <c r="I15" s="31">
        <f>'Planejamento Financeiro '!J40/'Planejamento Financeiro '!J34</f>
        <v>3.8231634468192981</v>
      </c>
      <c r="J15" s="31">
        <f>'Planejamento Financeiro '!K40/'Planejamento Financeiro '!K34</f>
        <v>2.7626453084157436</v>
      </c>
      <c r="K15" s="31">
        <f>'Planejamento Financeiro '!L40/'Planejamento Financeiro '!L34</f>
        <v>3.2303987355054646</v>
      </c>
      <c r="L15" s="31">
        <f>'Planejamento Financeiro '!M40/'Planejamento Financeiro '!M34</f>
        <v>2.1093761970912808</v>
      </c>
      <c r="M15" s="31">
        <f>'Planejamento Financeiro '!N40/'Planejamento Financeiro '!N34</f>
        <v>1.7504116681680473</v>
      </c>
      <c r="N15" s="31">
        <f>'Planejamento Financeiro '!O40/'Planejamento Financeiro '!O34</f>
        <v>3.2228658095954374</v>
      </c>
    </row>
    <row r="17" spans="1:14" ht="15.6" x14ac:dyDescent="0.3">
      <c r="A17" s="28" t="s">
        <v>72</v>
      </c>
      <c r="B17" s="29" t="s">
        <v>50</v>
      </c>
      <c r="C17" s="29" t="s">
        <v>51</v>
      </c>
      <c r="D17" s="29" t="s">
        <v>52</v>
      </c>
      <c r="E17" s="29" t="s">
        <v>53</v>
      </c>
      <c r="F17" s="29" t="s">
        <v>54</v>
      </c>
      <c r="G17" s="29" t="s">
        <v>55</v>
      </c>
      <c r="H17" s="29" t="s">
        <v>56</v>
      </c>
      <c r="I17" s="29" t="s">
        <v>57</v>
      </c>
      <c r="J17" s="29" t="s">
        <v>58</v>
      </c>
      <c r="K17" s="29" t="s">
        <v>59</v>
      </c>
      <c r="L17" s="29" t="s">
        <v>60</v>
      </c>
      <c r="M17" s="29" t="s">
        <v>61</v>
      </c>
      <c r="N17" s="29" t="s">
        <v>48</v>
      </c>
    </row>
    <row r="18" spans="1:14" ht="15.6" x14ac:dyDescent="0.3">
      <c r="A18" s="30" t="s">
        <v>73</v>
      </c>
      <c r="B18" s="31">
        <f>'Planejamento Financeiro '!C40/'Planejamento Financeiro '!C32</f>
        <v>1.335820895522388</v>
      </c>
      <c r="C18" s="31">
        <f>'Planejamento Financeiro '!D40/'Planejamento Financeiro '!D32</f>
        <v>1.4999679687188039</v>
      </c>
      <c r="D18" s="31">
        <f>'Planejamento Financeiro '!E40/'Planejamento Financeiro '!E32</f>
        <v>1.3357913854692145</v>
      </c>
      <c r="E18" s="31">
        <f>'Planejamento Financeiro '!F40/'Planejamento Financeiro '!F32</f>
        <v>1.4196437426103725</v>
      </c>
      <c r="F18" s="31">
        <f>'Planejamento Financeiro '!G40/'Planejamento Financeiro '!G32</f>
        <v>1.3335143934164113</v>
      </c>
      <c r="G18" s="31">
        <f>'Planejamento Financeiro '!H40/'Planejamento Financeiro '!H32</f>
        <v>1.3177895905227992</v>
      </c>
      <c r="H18" s="31">
        <f>'Planejamento Financeiro '!I40/'Planejamento Financeiro '!I32</f>
        <v>1.2463675107621042</v>
      </c>
      <c r="I18" s="31">
        <f>'Planejamento Financeiro '!J40/'Planejamento Financeiro '!J32</f>
        <v>1.2977602773236787</v>
      </c>
      <c r="J18" s="31">
        <f>'Planejamento Financeiro '!K40/'Planejamento Financeiro '!K32</f>
        <v>1.1641823247196588</v>
      </c>
      <c r="K18" s="31">
        <f>'Planejamento Financeiro '!L40/'Planejamento Financeiro '!L32</f>
        <v>1.2515840959468665</v>
      </c>
      <c r="L18" s="31">
        <f>'Planejamento Financeiro '!M40/'Planejamento Financeiro '!M32</f>
        <v>1.0771362671781941</v>
      </c>
      <c r="M18" s="31">
        <f>'Planejamento Financeiro '!N40/'Planejamento Financeiro '!N32</f>
        <v>1.070979632454643</v>
      </c>
      <c r="N18" s="31">
        <f>'Planejamento Financeiro '!O40/'Planejamento Financeiro '!O32</f>
        <v>1.2475070445783896</v>
      </c>
    </row>
    <row r="19" spans="1:14" ht="15.6" x14ac:dyDescent="0.3">
      <c r="A19" s="27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ht="15.6" x14ac:dyDescent="0.3">
      <c r="A20" s="28" t="s">
        <v>74</v>
      </c>
      <c r="B20" s="29" t="s">
        <v>50</v>
      </c>
      <c r="C20" s="29" t="s">
        <v>51</v>
      </c>
      <c r="D20" s="29" t="s">
        <v>52</v>
      </c>
      <c r="E20" s="29" t="s">
        <v>53</v>
      </c>
      <c r="F20" s="29" t="s">
        <v>54</v>
      </c>
      <c r="G20" s="29" t="s">
        <v>55</v>
      </c>
      <c r="H20" s="29" t="s">
        <v>56</v>
      </c>
      <c r="I20" s="29" t="s">
        <v>57</v>
      </c>
      <c r="J20" s="29" t="s">
        <v>58</v>
      </c>
      <c r="K20" s="29" t="s">
        <v>59</v>
      </c>
      <c r="L20" s="29" t="s">
        <v>60</v>
      </c>
      <c r="M20" s="29" t="s">
        <v>61</v>
      </c>
      <c r="N20" s="29" t="s">
        <v>48</v>
      </c>
    </row>
    <row r="21" spans="1:14" ht="15.6" x14ac:dyDescent="0.3">
      <c r="A21" s="30" t="s">
        <v>75</v>
      </c>
      <c r="B21" s="31">
        <f>'Planejamento Financeiro '!C14/'Planejamento Financeiro '!C9</f>
        <v>0.68095238095238098</v>
      </c>
      <c r="C21" s="31">
        <f>'Planejamento Financeiro '!D14/'Planejamento Financeiro '!D9</f>
        <v>0.6692909832451498</v>
      </c>
      <c r="D21" s="31">
        <f>'Planejamento Financeiro '!E14/'Planejamento Financeiro '!E9</f>
        <v>0.66565384146307405</v>
      </c>
      <c r="E21" s="31">
        <f>'Planejamento Financeiro '!F14/'Planejamento Financeiro '!F9</f>
        <v>0.66219975914987839</v>
      </c>
      <c r="F21" s="31">
        <f>'Planejamento Financeiro '!G14/'Planejamento Financeiro '!G9</f>
        <v>0.6589214069282685</v>
      </c>
      <c r="G21" s="31">
        <f>'Planejamento Financeiro '!H14/'Planejamento Financeiro '!H9</f>
        <v>0.65581175204485698</v>
      </c>
      <c r="H21" s="31">
        <f>'Planejamento Financeiro '!I14/'Planejamento Financeiro '!I9</f>
        <v>0.65286404637232931</v>
      </c>
      <c r="I21" s="31">
        <f>'Planejamento Financeiro '!J14/'Planejamento Financeiro '!J9</f>
        <v>0.65007181489691301</v>
      </c>
      <c r="J21" s="31">
        <f>'Planejamento Financeiro '!K14/'Planejamento Financeiro '!K9</f>
        <v>0.64742884467151862</v>
      </c>
      <c r="K21" s="31">
        <f>'Planejamento Financeiro '!L14/'Planejamento Financeiro '!L9</f>
        <v>0.64492917421571683</v>
      </c>
      <c r="L21" s="31">
        <f>'Planejamento Financeiro '!M14/'Planejamento Financeiro '!M9</f>
        <v>0.64256708334447643</v>
      </c>
      <c r="M21" s="31">
        <f>'Planejamento Financeiro '!N14/'Planejamento Financeiro '!N9</f>
        <v>0.64033708340832141</v>
      </c>
      <c r="N21" s="31">
        <f>'Planejamento Financeiro '!O14/'Planejamento Financeiro '!O9</f>
        <v>0.65301863912368507</v>
      </c>
    </row>
    <row r="22" spans="1:14" ht="15.6" x14ac:dyDescent="0.3">
      <c r="A22" s="27"/>
      <c r="B22" s="16"/>
    </row>
  </sheetData>
  <phoneticPr fontId="7" type="noConversion"/>
  <conditionalFormatting sqref="B3:N5 B8:N9 B13:N15 B18:N18 B21:N21">
    <cfRule type="cellIs" dxfId="1" priority="2" operator="greaterThan">
      <formula>0</formula>
    </cfRule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FF56-D522-40A5-83B5-1DC3D4E7BDE7}">
  <dimension ref="A1:AD39"/>
  <sheetViews>
    <sheetView showGridLines="0" zoomScale="90" zoomScaleNormal="90" workbookViewId="0">
      <selection activeCell="J39" sqref="J39"/>
    </sheetView>
  </sheetViews>
  <sheetFormatPr defaultColWidth="0" defaultRowHeight="14.4" zeroHeight="1" x14ac:dyDescent="0.3"/>
  <cols>
    <col min="1" max="1" width="2" style="23" customWidth="1"/>
    <col min="2" max="30" width="8.88671875" style="24" customWidth="1"/>
    <col min="31" max="16384" width="8.88671875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Planejamento Financeiro </vt:lpstr>
      <vt:lpstr>Indicadores Financeiros  </vt:lpstr>
      <vt:lpstr>Dashaboard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Bumba Amador</dc:creator>
  <cp:lastModifiedBy>Francisco Bumba Amador</cp:lastModifiedBy>
  <dcterms:created xsi:type="dcterms:W3CDTF">2015-06-05T18:17:20Z</dcterms:created>
  <dcterms:modified xsi:type="dcterms:W3CDTF">2026-02-13T01:47:07Z</dcterms:modified>
</cp:coreProperties>
</file>